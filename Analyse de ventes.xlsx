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3"/>
  <workbookPr hidePivotFieldList="1"/>
  <xr:revisionPtr revIDLastSave="0" documentId="8_{9BD7927C-7461-4433-94D1-1DC1A2C47F6F}" xr6:coauthVersionLast="47" xr6:coauthVersionMax="47" xr10:uidLastSave="{00000000-0000-0000-0000-000000000000}"/>
  <bookViews>
    <workbookView xWindow="0" yWindow="0" windowWidth="16384" windowHeight="8192" tabRatio="500" xr2:uid="{00000000-000D-0000-FFFF-FFFF00000000}"/>
  </bookViews>
  <sheets>
    <sheet name="Analyse des ventes" sheetId="2" r:id="rId1"/>
  </sheets>
  <calcPr calcId="191028" iterateDelta="1E-4"/>
  <pivotCaches>
    <pivotCache cacheId="58" r:id="rId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41" i="2" l="1"/>
  <c r="G42" i="2"/>
  <c r="G43" i="2"/>
  <c r="G44" i="2"/>
  <c r="G45" i="2"/>
  <c r="G30" i="2"/>
  <c r="G29" i="2"/>
  <c r="G28" i="2"/>
  <c r="G27" i="2"/>
  <c r="G17" i="2"/>
  <c r="G16" i="2"/>
  <c r="G15" i="2"/>
  <c r="G14" i="2"/>
</calcChain>
</file>

<file path=xl/sharedStrings.xml><?xml version="1.0" encoding="utf-8"?>
<sst xmlns="http://schemas.openxmlformats.org/spreadsheetml/2006/main" count="47" uniqueCount="40">
  <si>
    <t>Produit</t>
  </si>
  <si>
    <t>Somme de CA</t>
  </si>
  <si>
    <t>%</t>
  </si>
  <si>
    <t>Ecran</t>
  </si>
  <si>
    <t>Clavier</t>
  </si>
  <si>
    <t>Souris</t>
  </si>
  <si>
    <t>Total Résultat</t>
  </si>
  <si>
    <t>Ville</t>
  </si>
  <si>
    <t>Paris</t>
  </si>
  <si>
    <t>Lyon</t>
  </si>
  <si>
    <t>Lille</t>
  </si>
  <si>
    <t>Vendeur</t>
  </si>
  <si>
    <t>Alice</t>
  </si>
  <si>
    <t>Lina</t>
  </si>
  <si>
    <t>Marc</t>
  </si>
  <si>
    <t>Sami</t>
  </si>
  <si>
    <t>Date</t>
  </si>
  <si>
    <t>2026-09-01</t>
  </si>
  <si>
    <t>2026-09-02</t>
  </si>
  <si>
    <t>2026-09-03</t>
  </si>
  <si>
    <t>2026-09-04</t>
  </si>
  <si>
    <t>2026-09-05</t>
  </si>
  <si>
    <t>2026-09-06</t>
  </si>
  <si>
    <t>2026-09-07</t>
  </si>
  <si>
    <t>2026-09-08</t>
  </si>
  <si>
    <t>2026-09-09</t>
  </si>
  <si>
    <t>2026-09-10</t>
  </si>
  <si>
    <t>2026-09-11</t>
  </si>
  <si>
    <t>2026-09-12</t>
  </si>
  <si>
    <t>2026-09-13</t>
  </si>
  <si>
    <t>2026-09-14</t>
  </si>
  <si>
    <t>2026-09-15</t>
  </si>
  <si>
    <t>2026-09-16</t>
  </si>
  <si>
    <t>2026-09-17</t>
  </si>
  <si>
    <t>2026-09-18</t>
  </si>
  <si>
    <t>2026-09-20</t>
  </si>
  <si>
    <t>2026-09-21</t>
  </si>
  <si>
    <t>2026-09-22</t>
  </si>
  <si>
    <t>2026-09-24</t>
  </si>
  <si>
    <t>Total général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</si>
</sst>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
  </numFmts>
  <fonts count="5">
    <font>
      <sz val="11"/>
      <color theme="1"/>
      <name val="Aptos Narrow"/>
      <family val="2"/>
      <charset val="1"/>
    </font>
    <font>
      <b/>
      <sz val="11"/>
      <color theme="1"/>
      <name val="Aptos Narrow"/>
      <family val="2"/>
      <charset val="1"/>
    </font>
    <font>
      <sz val="11"/>
      <color theme="1"/>
      <name val="Aptos Narrow"/>
      <family val="2"/>
      <charset val="1"/>
    </font>
    <font>
      <sz val="14"/>
      <color theme="1"/>
      <name val="Aptos Narrow"/>
      <family val="2"/>
      <charset val="1"/>
    </font>
    <font>
      <b/>
      <sz val="14"/>
      <color rgb="FF000000"/>
      <name val="Aptos Narrow"/>
    </font>
  </fonts>
  <fills count="4">
    <fill>
      <patternFill patternType="none"/>
    </fill>
    <fill>
      <patternFill patternType="gray125"/>
    </fill>
    <fill>
      <patternFill patternType="solid">
        <fgColor theme="7" tint="0.39988402966399123"/>
        <bgColor rgb="FF99CCFF"/>
      </patternFill>
    </fill>
    <fill>
      <patternFill patternType="solid">
        <fgColor theme="0"/>
        <bgColor indexed="64"/>
      </patternFill>
    </fill>
  </fills>
  <borders count="14">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diagonal/>
    </border>
    <border>
      <left style="thin">
        <color auto="1"/>
      </left>
      <right style="medium">
        <color auto="1"/>
      </right>
      <top/>
      <bottom/>
      <diagonal/>
    </border>
    <border>
      <left style="thin">
        <color auto="1"/>
      </left>
      <right style="medium">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thin">
        <color auto="1"/>
      </top>
      <bottom style="medium">
        <color auto="1"/>
      </bottom>
      <diagonal/>
    </border>
    <border>
      <left style="thin">
        <color auto="1"/>
      </left>
      <right style="thin">
        <color auto="1"/>
      </right>
      <top style="thin">
        <color auto="1"/>
      </top>
      <bottom/>
      <diagonal/>
    </border>
    <border>
      <left style="medium">
        <color rgb="FF000000"/>
      </left>
      <right style="medium">
        <color rgb="FF000000"/>
      </right>
      <top style="medium">
        <color rgb="FF000000"/>
      </top>
      <bottom style="medium">
        <color rgb="FF000000"/>
      </bottom>
      <diagonal/>
    </border>
  </borders>
  <cellStyleXfs count="7">
    <xf numFmtId="0" fontId="0" fillId="0" borderId="0"/>
    <xf numFmtId="0" fontId="2" fillId="0" borderId="0" applyBorder="0" applyProtection="0"/>
    <xf numFmtId="0" fontId="2" fillId="0" borderId="0" applyBorder="0" applyProtection="0"/>
    <xf numFmtId="0" fontId="2" fillId="0" borderId="0" applyBorder="0" applyProtection="0"/>
    <xf numFmtId="0" fontId="2" fillId="0" borderId="0" applyBorder="0" applyProtection="0">
      <alignment horizontal="left"/>
    </xf>
    <xf numFmtId="0" fontId="1" fillId="0" borderId="0" applyBorder="0" applyProtection="0">
      <alignment horizontal="left"/>
    </xf>
    <xf numFmtId="0" fontId="1" fillId="0" borderId="0" applyBorder="0" applyProtection="0"/>
  </cellStyleXfs>
  <cellXfs count="21">
    <xf numFmtId="0" fontId="0" fillId="0" borderId="0" xfId="0"/>
    <xf numFmtId="0" fontId="0" fillId="0" borderId="0" xfId="0" applyAlignment="1">
      <alignment horizontal="center" indent="1"/>
    </xf>
    <xf numFmtId="0" fontId="0" fillId="0" borderId="2" xfId="3" applyFont="1" applyBorder="1" applyAlignment="1">
      <alignment horizontal="center" indent="1"/>
    </xf>
    <xf numFmtId="0" fontId="0" fillId="0" borderId="3" xfId="1" applyFont="1" applyBorder="1" applyAlignment="1">
      <alignment horizontal="center" indent="1"/>
    </xf>
    <xf numFmtId="0" fontId="1" fillId="2" borderId="1" xfId="0" applyFont="1" applyFill="1" applyBorder="1" applyAlignment="1">
      <alignment horizontal="center" indent="1"/>
    </xf>
    <xf numFmtId="0" fontId="0" fillId="0" borderId="4" xfId="4" applyFont="1" applyBorder="1" applyAlignment="1">
      <alignment horizontal="center" indent="1"/>
    </xf>
    <xf numFmtId="0" fontId="2" fillId="0" borderId="5" xfId="2" applyBorder="1" applyAlignment="1">
      <alignment horizontal="center" indent="1"/>
    </xf>
    <xf numFmtId="164" fontId="0" fillId="0" borderId="1" xfId="0" applyNumberFormat="1" applyBorder="1" applyAlignment="1">
      <alignment horizontal="center" indent="1"/>
    </xf>
    <xf numFmtId="0" fontId="0" fillId="0" borderId="6" xfId="4" applyFont="1" applyBorder="1" applyAlignment="1">
      <alignment horizontal="center" indent="1"/>
    </xf>
    <xf numFmtId="0" fontId="2" fillId="0" borderId="7" xfId="2" applyBorder="1" applyAlignment="1">
      <alignment horizontal="center" indent="1"/>
    </xf>
    <xf numFmtId="0" fontId="2" fillId="0" borderId="8" xfId="2" applyBorder="1" applyAlignment="1">
      <alignment horizontal="center" indent="1"/>
    </xf>
    <xf numFmtId="164" fontId="0" fillId="0" borderId="12" xfId="0" applyNumberFormat="1" applyBorder="1" applyAlignment="1">
      <alignment horizontal="center" indent="1"/>
    </xf>
    <xf numFmtId="0" fontId="1" fillId="0" borderId="9" xfId="5" applyFont="1" applyBorder="1" applyAlignment="1">
      <alignment horizontal="center" indent="1"/>
    </xf>
    <xf numFmtId="0" fontId="1" fillId="0" borderId="11" xfId="6" applyBorder="1" applyAlignment="1">
      <alignment horizontal="center" indent="1"/>
    </xf>
    <xf numFmtId="164" fontId="0" fillId="0" borderId="13" xfId="0" applyNumberFormat="1" applyBorder="1" applyAlignment="1">
      <alignment horizontal="center" indent="1"/>
    </xf>
    <xf numFmtId="49" fontId="1" fillId="2" borderId="1" xfId="0" applyNumberFormat="1" applyFont="1" applyFill="1" applyBorder="1" applyAlignment="1">
      <alignment horizontal="center" indent="1"/>
    </xf>
    <xf numFmtId="0" fontId="1" fillId="0" borderId="10" xfId="6" applyBorder="1" applyAlignment="1">
      <alignment horizontal="center" indent="1"/>
    </xf>
    <xf numFmtId="0" fontId="0" fillId="0" borderId="0" xfId="0" pivotButton="1" applyAlignment="1">
      <alignment horizontal="center" indent="1"/>
    </xf>
    <xf numFmtId="0" fontId="0" fillId="0" borderId="0" xfId="0" applyNumberFormat="1" applyAlignment="1">
      <alignment horizontal="center" indent="1"/>
    </xf>
    <xf numFmtId="0" fontId="3" fillId="3" borderId="0" xfId="0" applyFont="1" applyFill="1" applyAlignment="1">
      <alignment horizontal="center" indent="1"/>
    </xf>
    <xf numFmtId="0" fontId="4" fillId="3" borderId="0" xfId="0" applyFont="1" applyFill="1" applyAlignment="1">
      <alignment horizontal="center" indent="1"/>
    </xf>
  </cellXfs>
  <cellStyles count="7">
    <cellStyle name="Catégorie de la table dynamique" xfId="4" xr:uid="{00000000-0005-0000-0000-000009000000}"/>
    <cellStyle name="Champ de la table dynamique" xfId="3" xr:uid="{00000000-0005-0000-0000-000008000000}"/>
    <cellStyle name="Coin de la table dynamique" xfId="1" xr:uid="{00000000-0005-0000-0000-000006000000}"/>
    <cellStyle name="Normal" xfId="0" builtinId="0"/>
    <cellStyle name="Résultat de la table dynamique" xfId="6" xr:uid="{00000000-0005-0000-0000-00000B000000}"/>
    <cellStyle name="Titre de la table dynamique" xfId="5" xr:uid="{00000000-0005-0000-0000-00000A000000}"/>
    <cellStyle name="Valeur de la table dynamique" xfId="2" xr:uid="{00000000-0005-0000-0000-000007000000}"/>
  </cellStyles>
  <dxfs count="164">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center"/>
    </dxf>
    <dxf>
      <alignment horizontal="center"/>
    </dxf>
    <dxf>
      <alignment horizontal="center"/>
    </dxf>
    <dxf>
      <alignment horizontal="center"/>
    </dxf>
    <dxf>
      <alignment horizontal="center"/>
    </dxf>
    <dxf>
      <alignment horizont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center"/>
    </dxf>
    <dxf>
      <alignment horizontal="center"/>
    </dxf>
    <dxf>
      <alignment horizontal="center"/>
    </dxf>
    <dxf>
      <alignment horizontal="center"/>
    </dxf>
    <dxf>
      <alignment horizontal="center"/>
    </dxf>
    <dxf>
      <alignment horizont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center"/>
    </dxf>
    <dxf>
      <alignment horizontal="center"/>
    </dxf>
    <dxf>
      <alignment horizontal="center"/>
    </dxf>
    <dxf>
      <alignment horizontal="center"/>
    </dxf>
    <dxf>
      <alignment horizontal="center"/>
    </dxf>
    <dxf>
      <alignment horizont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86C24"/>
      <rgbColor rgb="FF000080"/>
      <rgbColor rgb="FF808000"/>
      <rgbColor rgb="FF800080"/>
      <rgbColor rgb="FF0F9ED5"/>
      <rgbColor rgb="FFC0C0C0"/>
      <rgbColor rgb="FF808080"/>
      <rgbColor rgb="FF9999FF"/>
      <rgbColor rgb="FFA02B93"/>
      <rgbColor rgb="FFFFFFCC"/>
      <rgbColor rgb="FFCCFFFF"/>
      <rgbColor rgb="FF660066"/>
      <rgbColor rgb="FFFF8080"/>
      <rgbColor rgb="FF145F82"/>
      <rgbColor rgb="FFD9D9D9"/>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C99"/>
      <rgbColor rgb="FF3366FF"/>
      <rgbColor rgb="FF61CBF4"/>
      <rgbColor rgb="FF8ED973"/>
      <rgbColor rgb="FFFFCC00"/>
      <rgbColor rgb="FFFF9900"/>
      <rgbColor rgb="FFE87331"/>
      <rgbColor rgb="FF595959"/>
      <rgbColor rgb="FF969696"/>
      <rgbColor rgb="FF003366"/>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300" b="0" u="none" strike="noStrike">
                <a:uFillTx/>
                <a:latin typeface="Arial"/>
              </a:defRPr>
            </a:pPr>
            <a:r>
              <a:rPr lang="en-US" sz="1400" b="1" u="none" strike="noStrike">
                <a:solidFill>
                  <a:schemeClr val="tx1">
                    <a:lumMod val="65000"/>
                    <a:lumOff val="35000"/>
                  </a:schemeClr>
                </a:solidFill>
                <a:uFillTx/>
                <a:latin typeface="Aptos Narrow"/>
              </a:rPr>
              <a:t>Pourcentage de chiffre d'affaire par ville</a:t>
            </a:r>
          </a:p>
        </c:rich>
      </c:tx>
      <c:overlay val="0"/>
      <c:spPr>
        <a:noFill/>
        <a:ln w="0">
          <a:noFill/>
        </a:ln>
      </c:spPr>
    </c:title>
    <c:autoTitleDeleted val="0"/>
    <c:plotArea>
      <c:layout/>
      <c:pieChart>
        <c:varyColors val="1"/>
        <c:ser>
          <c:idx val="0"/>
          <c:order val="0"/>
          <c:tx>
            <c:strRef>
              <c:f>'Analyse des ventes'!$F$26</c:f>
              <c:strCache>
                <c:ptCount val="1"/>
                <c:pt idx="0">
                  <c:v>Somme de CA</c:v>
                </c:pt>
              </c:strCache>
            </c:strRef>
          </c:tx>
          <c:spPr>
            <a:ln w="0">
              <a:noFill/>
            </a:ln>
          </c:spPr>
          <c:dPt>
            <c:idx val="0"/>
            <c:bubble3D val="0"/>
            <c:spPr>
              <a:ln w="19080">
                <a:solidFill>
                  <a:schemeClr val="lt1"/>
                </a:solidFill>
                <a:round/>
              </a:ln>
            </c:spPr>
            <c:extLst>
              <c:ext xmlns:c16="http://schemas.microsoft.com/office/drawing/2014/chart" uri="{C3380CC4-5D6E-409C-BE32-E72D297353CC}">
                <c16:uniqueId val="{00000001-A853-48C7-BFB8-9AC3E5F33EB5}"/>
              </c:ext>
            </c:extLst>
          </c:dPt>
          <c:dPt>
            <c:idx val="1"/>
            <c:bubble3D val="0"/>
            <c:spPr>
              <a:ln w="19080">
                <a:solidFill>
                  <a:schemeClr val="lt1"/>
                </a:solidFill>
                <a:round/>
              </a:ln>
            </c:spPr>
            <c:extLst>
              <c:ext xmlns:c16="http://schemas.microsoft.com/office/drawing/2014/chart" uri="{C3380CC4-5D6E-409C-BE32-E72D297353CC}">
                <c16:uniqueId val="{00000003-A853-48C7-BFB8-9AC3E5F33EB5}"/>
              </c:ext>
            </c:extLst>
          </c:dPt>
          <c:dPt>
            <c:idx val="2"/>
            <c:bubble3D val="0"/>
            <c:spPr>
              <a:ln w="19080">
                <a:solidFill>
                  <a:schemeClr val="lt1"/>
                </a:solidFill>
                <a:round/>
              </a:ln>
            </c:spPr>
            <c:extLst>
              <c:ext xmlns:c16="http://schemas.microsoft.com/office/drawing/2014/chart" uri="{C3380CC4-5D6E-409C-BE32-E72D297353CC}">
                <c16:uniqueId val="{00000005-A853-48C7-BFB8-9AC3E5F33EB5}"/>
              </c:ext>
            </c:extLst>
          </c:dPt>
          <c:dPt>
            <c:idx val="3"/>
            <c:bubble3D val="0"/>
            <c:extLst>
              <c:ext xmlns:c16="http://schemas.microsoft.com/office/drawing/2014/chart" uri="{C3380CC4-5D6E-409C-BE32-E72D297353CC}">
                <c16:uniqueId val="{00000007-A853-48C7-BFB8-9AC3E5F33EB5}"/>
              </c:ext>
            </c:extLst>
          </c:dPt>
          <c:dLbls>
            <c:spPr>
              <a:solidFill>
                <a:srgbClr val="FFFFFF"/>
              </a:solidFill>
            </c:spPr>
            <c:txPr>
              <a:bodyPr wrap="square"/>
              <a:lstStyle/>
              <a:p>
                <a:pPr>
                  <a:defRPr sz="900" b="1" u="none" strike="noStrike">
                    <a:solidFill>
                      <a:schemeClr val="tx1">
                        <a:lumMod val="75000"/>
                        <a:lumOff val="25000"/>
                      </a:schemeClr>
                    </a:solidFill>
                    <a:uFillTx/>
                    <a:latin typeface="Aptos Narrow"/>
                  </a:defRPr>
                </a:pPr>
                <a:endParaRPr lang="en-US"/>
              </a:p>
            </c:txPr>
            <c:dLblPos val="bestFit"/>
            <c:showLegendKey val="0"/>
            <c:showVal val="0"/>
            <c:showCatName val="0"/>
            <c:showSerName val="0"/>
            <c:showPercent val="1"/>
            <c:showBubbleSize val="1"/>
            <c:separator>
</c:separator>
            <c:showLeaderLines val="0"/>
            <c:extLst>
              <c:ext xmlns:c15="http://schemas.microsoft.com/office/drawing/2012/chart" uri="{CE6537A1-D6FC-4f65-9D91-7224C49458BB}"/>
            </c:extLst>
          </c:dLbls>
          <c:cat>
            <c:strRef>
              <c:f>'Analyse des ventes'!$E$27:$E$30</c:f>
              <c:strCache>
                <c:ptCount val="4"/>
                <c:pt idx="0">
                  <c:v>Paris</c:v>
                </c:pt>
                <c:pt idx="1">
                  <c:v>Lyon</c:v>
                </c:pt>
                <c:pt idx="2">
                  <c:v>Lille</c:v>
                </c:pt>
                <c:pt idx="3">
                  <c:v>Total Résultat</c:v>
                </c:pt>
              </c:strCache>
            </c:strRef>
          </c:cat>
          <c:val>
            <c:numRef>
              <c:f>'Analyse des ventes'!$F$27:$F$30</c:f>
              <c:numCache>
                <c:formatCode>General</c:formatCode>
                <c:ptCount val="4"/>
                <c:pt idx="0">
                  <c:v>990</c:v>
                </c:pt>
                <c:pt idx="1">
                  <c:v>815</c:v>
                </c:pt>
                <c:pt idx="2">
                  <c:v>665</c:v>
                </c:pt>
                <c:pt idx="3">
                  <c:v>2470</c:v>
                </c:pt>
              </c:numCache>
            </c:numRef>
          </c:val>
          <c:extLst>
            <c:ext xmlns:c16="http://schemas.microsoft.com/office/drawing/2014/chart" uri="{C3380CC4-5D6E-409C-BE32-E72D297353CC}">
              <c16:uniqueId val="{00000008-A853-48C7-BFB8-9AC3E5F33EB5}"/>
            </c:ext>
          </c:extLst>
        </c:ser>
        <c:dLbls>
          <c:showLegendKey val="0"/>
          <c:showVal val="0"/>
          <c:showCatName val="0"/>
          <c:showSerName val="0"/>
          <c:showPercent val="0"/>
          <c:showBubbleSize val="0"/>
          <c:showLeaderLines val="0"/>
        </c:dLbls>
        <c:firstSliceAng val="0"/>
      </c:pieChart>
      <c:spPr>
        <a:noFill/>
        <a:ln w="0">
          <a:noFill/>
        </a:ln>
      </c:spPr>
    </c:plotArea>
    <c:legend>
      <c:legendPos val="b"/>
      <c:overlay val="0"/>
      <c:spPr>
        <a:solidFill>
          <a:srgbClr val="FFFFFF"/>
        </a:solidFill>
        <a:ln w="0">
          <a:noFill/>
        </a:ln>
      </c:spPr>
      <c:txPr>
        <a:bodyPr/>
        <a:lstStyle/>
        <a:p>
          <a:pPr>
            <a:defRPr sz="900" b="1" u="none" strike="noStrike">
              <a:solidFill>
                <a:schemeClr val="tx1">
                  <a:lumMod val="65000"/>
                  <a:lumOff val="35000"/>
                </a:schemeClr>
              </a:solidFill>
              <a:uFillTx/>
              <a:latin typeface="Aptos Narrow"/>
            </a:defRPr>
          </a:pPr>
          <a:endParaRPr lang="en-US"/>
        </a:p>
      </c:txPr>
    </c:legend>
    <c:plotVisOnly val="1"/>
    <c:dispBlanksAs val="gap"/>
    <c:showDLblsOverMax val="1"/>
  </c:chart>
  <c:spPr>
    <a:ln w="9360">
      <a:solidFill>
        <a:schemeClr val="dk1">
          <a:lumMod val="15000"/>
          <a:lumOff val="85000"/>
        </a:schemeClr>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300" b="0" u="none" strike="noStrike">
                <a:uFillTx/>
                <a:latin typeface="Arial"/>
              </a:defRPr>
            </a:pPr>
            <a:r>
              <a:rPr lang="en-US" sz="1400" b="1" u="none" strike="noStrike">
                <a:solidFill>
                  <a:schemeClr val="tx1">
                    <a:lumMod val="65000"/>
                    <a:lumOff val="35000"/>
                  </a:schemeClr>
                </a:solidFill>
                <a:uFillTx/>
                <a:latin typeface="Aptos Narrow"/>
              </a:rPr>
              <a:t>Chiffre d'affaire par produit</a:t>
            </a:r>
          </a:p>
        </c:rich>
      </c:tx>
      <c:overlay val="0"/>
      <c:spPr>
        <a:noFill/>
        <a:ln w="0">
          <a:noFill/>
        </a:ln>
      </c:spPr>
    </c:title>
    <c:autoTitleDeleted val="0"/>
    <c:plotArea>
      <c:layout/>
      <c:pieChart>
        <c:varyColors val="1"/>
        <c:ser>
          <c:idx val="0"/>
          <c:order val="0"/>
          <c:tx>
            <c:strRef>
              <c:f>'Analyse des ventes'!$F$13</c:f>
              <c:strCache>
                <c:ptCount val="1"/>
                <c:pt idx="0">
                  <c:v>Somme de CA</c:v>
                </c:pt>
              </c:strCache>
            </c:strRef>
          </c:tx>
          <c:spPr>
            <a:ln w="0">
              <a:noFill/>
            </a:ln>
          </c:spPr>
          <c:dPt>
            <c:idx val="0"/>
            <c:bubble3D val="0"/>
            <c:spPr>
              <a:ln w="19080">
                <a:solidFill>
                  <a:schemeClr val="lt1"/>
                </a:solidFill>
                <a:round/>
              </a:ln>
            </c:spPr>
            <c:extLst>
              <c:ext xmlns:c16="http://schemas.microsoft.com/office/drawing/2014/chart" uri="{C3380CC4-5D6E-409C-BE32-E72D297353CC}">
                <c16:uniqueId val="{00000001-1893-4550-81E0-F02FAB2FE2E7}"/>
              </c:ext>
            </c:extLst>
          </c:dPt>
          <c:dPt>
            <c:idx val="1"/>
            <c:bubble3D val="0"/>
            <c:spPr>
              <a:ln w="19080">
                <a:solidFill>
                  <a:schemeClr val="lt1"/>
                </a:solidFill>
                <a:round/>
              </a:ln>
            </c:spPr>
            <c:extLst>
              <c:ext xmlns:c16="http://schemas.microsoft.com/office/drawing/2014/chart" uri="{C3380CC4-5D6E-409C-BE32-E72D297353CC}">
                <c16:uniqueId val="{00000003-1893-4550-81E0-F02FAB2FE2E7}"/>
              </c:ext>
            </c:extLst>
          </c:dPt>
          <c:dPt>
            <c:idx val="2"/>
            <c:bubble3D val="0"/>
            <c:spPr>
              <a:ln w="19080">
                <a:solidFill>
                  <a:schemeClr val="lt1"/>
                </a:solidFill>
                <a:round/>
              </a:ln>
            </c:spPr>
            <c:extLst>
              <c:ext xmlns:c16="http://schemas.microsoft.com/office/drawing/2014/chart" uri="{C3380CC4-5D6E-409C-BE32-E72D297353CC}">
                <c16:uniqueId val="{00000005-1893-4550-81E0-F02FAB2FE2E7}"/>
              </c:ext>
            </c:extLst>
          </c:dPt>
          <c:dPt>
            <c:idx val="3"/>
            <c:bubble3D val="0"/>
            <c:extLst>
              <c:ext xmlns:c16="http://schemas.microsoft.com/office/drawing/2014/chart" uri="{C3380CC4-5D6E-409C-BE32-E72D297353CC}">
                <c16:uniqueId val="{00000007-1893-4550-81E0-F02FAB2FE2E7}"/>
              </c:ext>
            </c:extLst>
          </c:dPt>
          <c:dLbls>
            <c:dLbl>
              <c:idx val="0"/>
              <c:spPr/>
              <c:txPr>
                <a:bodyPr wrap="square"/>
                <a:lstStyle/>
                <a:p>
                  <a:pPr>
                    <a:defRPr sz="900" b="0" u="none" strike="noStrike">
                      <a:solidFill>
                        <a:schemeClr val="tx1">
                          <a:lumMod val="75000"/>
                          <a:lumOff val="25000"/>
                        </a:schemeClr>
                      </a:solidFill>
                      <a:uFillTx/>
                      <a:latin typeface="Aptos Narrow"/>
                    </a:defRPr>
                  </a:pPr>
                  <a:endParaRPr lang="en-US"/>
                </a:p>
              </c:txPr>
              <c:dLblPos val="bestFit"/>
              <c:showLegendKey val="0"/>
              <c:showVal val="1"/>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1-1893-4550-81E0-F02FAB2FE2E7}"/>
                </c:ext>
              </c:extLst>
            </c:dLbl>
            <c:dLbl>
              <c:idx val="1"/>
              <c:spPr/>
              <c:txPr>
                <a:bodyPr wrap="square"/>
                <a:lstStyle/>
                <a:p>
                  <a:pPr>
                    <a:defRPr sz="900" b="0" u="none" strike="noStrike">
                      <a:solidFill>
                        <a:schemeClr val="tx1">
                          <a:lumMod val="75000"/>
                          <a:lumOff val="25000"/>
                        </a:schemeClr>
                      </a:solidFill>
                      <a:uFillTx/>
                      <a:latin typeface="Aptos Narrow"/>
                    </a:defRPr>
                  </a:pPr>
                  <a:endParaRPr lang="en-US"/>
                </a:p>
              </c:txPr>
              <c:dLblPos val="bestFit"/>
              <c:showLegendKey val="0"/>
              <c:showVal val="1"/>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3-1893-4550-81E0-F02FAB2FE2E7}"/>
                </c:ext>
              </c:extLst>
            </c:dLbl>
            <c:dLbl>
              <c:idx val="2"/>
              <c:spPr/>
              <c:txPr>
                <a:bodyPr wrap="square"/>
                <a:lstStyle/>
                <a:p>
                  <a:pPr>
                    <a:defRPr sz="900" b="0" u="none" strike="noStrike">
                      <a:solidFill>
                        <a:schemeClr val="tx1">
                          <a:lumMod val="75000"/>
                          <a:lumOff val="25000"/>
                        </a:schemeClr>
                      </a:solidFill>
                      <a:uFillTx/>
                      <a:latin typeface="Aptos Narrow"/>
                    </a:defRPr>
                  </a:pPr>
                  <a:endParaRPr lang="en-US"/>
                </a:p>
              </c:txPr>
              <c:dLblPos val="bestFit"/>
              <c:showLegendKey val="0"/>
              <c:showVal val="1"/>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5-1893-4550-81E0-F02FAB2FE2E7}"/>
                </c:ext>
              </c:extLst>
            </c:dLbl>
            <c:dLbl>
              <c:idx val="3"/>
              <c:spPr/>
              <c:txPr>
                <a:bodyPr wrap="square"/>
                <a:lstStyle/>
                <a:p>
                  <a:pPr>
                    <a:defRPr sz="900" b="0" u="none" strike="noStrike">
                      <a:solidFill>
                        <a:schemeClr val="tx1">
                          <a:lumMod val="75000"/>
                          <a:lumOff val="25000"/>
                        </a:schemeClr>
                      </a:solidFill>
                      <a:uFillTx/>
                      <a:latin typeface="Aptos Narrow"/>
                    </a:defRPr>
                  </a:pPr>
                  <a:endParaRPr lang="en-US"/>
                </a:p>
              </c:txPr>
              <c:dLblPos val="bestFit"/>
              <c:showLegendKey val="0"/>
              <c:showVal val="1"/>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7-1893-4550-81E0-F02FAB2FE2E7}"/>
                </c:ext>
              </c:extLst>
            </c:dLbl>
            <c:spPr>
              <a:noFill/>
              <a:ln>
                <a:noFill/>
              </a:ln>
              <a:effectLst/>
            </c:spPr>
            <c:txPr>
              <a:bodyPr wrap="square"/>
              <a:lstStyle/>
              <a:p>
                <a:pPr>
                  <a:defRPr sz="900" b="0" u="none" strike="noStrike">
                    <a:solidFill>
                      <a:schemeClr val="tx1">
                        <a:lumMod val="75000"/>
                        <a:lumOff val="25000"/>
                      </a:schemeClr>
                    </a:solidFill>
                    <a:uFillTx/>
                    <a:latin typeface="Aptos Narrow"/>
                  </a:defRPr>
                </a:pPr>
                <a:endParaRPr lang="en-US"/>
              </a:p>
            </c:txPr>
            <c:dLblPos val="bestFit"/>
            <c:showLegendKey val="0"/>
            <c:showVal val="1"/>
            <c:showCatName val="0"/>
            <c:showSerName val="0"/>
            <c:showPercent val="1"/>
            <c:showBubbleSize val="1"/>
            <c:separator>; </c:separator>
            <c:showLeaderLines val="0"/>
            <c:extLst>
              <c:ext xmlns:c15="http://schemas.microsoft.com/office/drawing/2012/chart" uri="{CE6537A1-D6FC-4f65-9D91-7224C49458BB}"/>
            </c:extLst>
          </c:dLbls>
          <c:cat>
            <c:strRef>
              <c:f>'Analyse des ventes'!$E$14:$E$17</c:f>
              <c:strCache>
                <c:ptCount val="4"/>
                <c:pt idx="0">
                  <c:v>Ecran</c:v>
                </c:pt>
                <c:pt idx="1">
                  <c:v>Clavier</c:v>
                </c:pt>
                <c:pt idx="2">
                  <c:v>Souris</c:v>
                </c:pt>
                <c:pt idx="3">
                  <c:v>Total Résultat</c:v>
                </c:pt>
              </c:strCache>
            </c:strRef>
          </c:cat>
          <c:val>
            <c:numRef>
              <c:f>'Analyse des ventes'!$F$14:$F$17</c:f>
              <c:numCache>
                <c:formatCode>General</c:formatCode>
                <c:ptCount val="4"/>
                <c:pt idx="0">
                  <c:v>1440</c:v>
                </c:pt>
                <c:pt idx="1">
                  <c:v>550</c:v>
                </c:pt>
                <c:pt idx="2">
                  <c:v>480</c:v>
                </c:pt>
                <c:pt idx="3">
                  <c:v>2470</c:v>
                </c:pt>
              </c:numCache>
            </c:numRef>
          </c:val>
          <c:extLst>
            <c:ext xmlns:c16="http://schemas.microsoft.com/office/drawing/2014/chart" uri="{C3380CC4-5D6E-409C-BE32-E72D297353CC}">
              <c16:uniqueId val="{00000008-1893-4550-81E0-F02FAB2FE2E7}"/>
            </c:ext>
          </c:extLst>
        </c:ser>
        <c:dLbls>
          <c:showLegendKey val="0"/>
          <c:showVal val="0"/>
          <c:showCatName val="0"/>
          <c:showSerName val="0"/>
          <c:showPercent val="0"/>
          <c:showBubbleSize val="0"/>
          <c:showLeaderLines val="0"/>
        </c:dLbls>
        <c:firstSliceAng val="0"/>
      </c:pieChart>
      <c:spPr>
        <a:noFill/>
        <a:ln w="0">
          <a:noFill/>
        </a:ln>
      </c:spPr>
    </c:plotArea>
    <c:legend>
      <c:legendPos val="b"/>
      <c:overlay val="0"/>
      <c:spPr>
        <a:noFill/>
        <a:ln w="0">
          <a:noFill/>
        </a:ln>
      </c:spPr>
      <c:txPr>
        <a:bodyPr/>
        <a:lstStyle/>
        <a:p>
          <a:pPr>
            <a:defRPr sz="900" b="1" u="none" strike="noStrike">
              <a:solidFill>
                <a:schemeClr val="tx1">
                  <a:lumMod val="65000"/>
                  <a:lumOff val="35000"/>
                </a:schemeClr>
              </a:solidFill>
              <a:uFillTx/>
              <a:latin typeface="Aptos Narrow"/>
            </a:defRPr>
          </a:pPr>
          <a:endParaRPr lang="en-US"/>
        </a:p>
      </c:txPr>
    </c:legend>
    <c:plotVisOnly val="1"/>
    <c:dispBlanksAs val="gap"/>
    <c:showDLblsOverMax val="1"/>
  </c:chart>
  <c:spPr>
    <a:ln w="9360">
      <a:solidFill>
        <a:schemeClr val="dk1">
          <a:lumMod val="15000"/>
          <a:lumOff val="85000"/>
        </a:schemeClr>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[Classeur 1.xlsx]Analyse des ventes!Tableau croisé dynamique5</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Chiffre d'affaire par vendeur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'Analyse des ventes'!$F$40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6A9-40DD-9154-46CAD7705CF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6A9-40DD-9154-46CAD7705CF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6A9-40DD-9154-46CAD7705CF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6A9-40DD-9154-46CAD7705CF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'Analyse des ventes'!$E$41:$E$45</c:f>
              <c:strCache>
                <c:ptCount val="4"/>
                <c:pt idx="0">
                  <c:v>Alice</c:v>
                </c:pt>
                <c:pt idx="1">
                  <c:v>Lina</c:v>
                </c:pt>
                <c:pt idx="2">
                  <c:v>Marc</c:v>
                </c:pt>
                <c:pt idx="3">
                  <c:v>Sami</c:v>
                </c:pt>
              </c:strCache>
            </c:strRef>
          </c:cat>
          <c:val>
            <c:numRef>
              <c:f>'Analyse des ventes'!$F$41:$F$45</c:f>
              <c:numCache>
                <c:formatCode>General</c:formatCode>
                <c:ptCount val="4"/>
                <c:pt idx="0">
                  <c:v>565</c:v>
                </c:pt>
                <c:pt idx="1">
                  <c:v>815</c:v>
                </c:pt>
                <c:pt idx="2">
                  <c:v>620</c:v>
                </c:pt>
                <c:pt idx="3">
                  <c:v>470</c:v>
                </c:pt>
              </c:numCache>
            </c:numRef>
          </c:val>
          <c:extLst>
            <c:ext xmlns:c16="http://schemas.microsoft.com/office/drawing/2014/chart" uri="{C3380CC4-5D6E-409C-BE32-E72D297353CC}">
              <c16:uniqueId val="{00000000-8A3C-4FFC-8972-B679ED150555}"/>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[Classeur 1.xlsx]Analyse des ventes!Tableau croisé dynamique3</c:name>
    <c:fmtId val="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Vente par jour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'Analyse des ventes'!$F$54</c:f>
              <c:strCache>
                <c:ptCount val="1"/>
                <c:pt idx="0">
                  <c:v>Total</c:v>
                </c:pt>
              </c:strCache>
            </c:strRef>
          </c:tx>
          <c:spPr>
            <a:solidFill>
              <a:schemeClr val="accent1"/>
            </a:solidFill>
            <a:ln>
              <a:noFill/>
            </a:ln>
            <a:effectLst/>
          </c:spPr>
          <c:invertIfNegative val="0"/>
          <c:cat>
            <c:strRef>
              <c:f>'Analyse des ventes'!$E$55:$E$77</c:f>
              <c:strCache>
                <c:ptCount val="22"/>
                <c:pt idx="0">
                  <c:v>2026-09-01</c:v>
                </c:pt>
                <c:pt idx="1">
                  <c:v>2026-09-02</c:v>
                </c:pt>
                <c:pt idx="2">
                  <c:v>2026-09-03</c:v>
                </c:pt>
                <c:pt idx="3">
                  <c:v>2026-09-04</c:v>
                </c:pt>
                <c:pt idx="4">
                  <c:v>2026-09-05</c:v>
                </c:pt>
                <c:pt idx="5">
                  <c:v>2026-09-06</c:v>
                </c:pt>
                <c:pt idx="6">
                  <c:v>2026-09-07</c:v>
                </c:pt>
                <c:pt idx="7">
                  <c:v>2026-09-08</c:v>
                </c:pt>
                <c:pt idx="8">
                  <c:v>2026-09-09</c:v>
                </c:pt>
                <c:pt idx="9">
                  <c:v>2026-09-10</c:v>
                </c:pt>
                <c:pt idx="10">
                  <c:v>2026-09-11</c:v>
                </c:pt>
                <c:pt idx="11">
                  <c:v>2026-09-12</c:v>
                </c:pt>
                <c:pt idx="12">
                  <c:v>2026-09-13</c:v>
                </c:pt>
                <c:pt idx="13">
                  <c:v>2026-09-14</c:v>
                </c:pt>
                <c:pt idx="14">
                  <c:v>2026-09-15</c:v>
                </c:pt>
                <c:pt idx="15">
                  <c:v>2026-09-16</c:v>
                </c:pt>
                <c:pt idx="16">
                  <c:v>2026-09-17</c:v>
                </c:pt>
                <c:pt idx="17">
                  <c:v>2026-09-18</c:v>
                </c:pt>
                <c:pt idx="18">
                  <c:v>2026-09-20</c:v>
                </c:pt>
                <c:pt idx="19">
                  <c:v>2026-09-21</c:v>
                </c:pt>
                <c:pt idx="20">
                  <c:v>2026-09-22</c:v>
                </c:pt>
                <c:pt idx="21">
                  <c:v>2026-09-24</c:v>
                </c:pt>
              </c:strCache>
            </c:strRef>
          </c:cat>
          <c:val>
            <c:numRef>
              <c:f>'Analyse des ventes'!$F$55:$F$77</c:f>
              <c:numCache>
                <c:formatCode>General</c:formatCode>
                <c:ptCount val="22"/>
                <c:pt idx="0">
                  <c:v>50</c:v>
                </c:pt>
                <c:pt idx="1">
                  <c:v>60</c:v>
                </c:pt>
                <c:pt idx="2">
                  <c:v>180</c:v>
                </c:pt>
                <c:pt idx="3">
                  <c:v>45</c:v>
                </c:pt>
                <c:pt idx="4">
                  <c:v>125</c:v>
                </c:pt>
                <c:pt idx="5">
                  <c:v>50</c:v>
                </c:pt>
                <c:pt idx="6">
                  <c:v>360</c:v>
                </c:pt>
                <c:pt idx="7">
                  <c:v>90</c:v>
                </c:pt>
                <c:pt idx="8">
                  <c:v>75</c:v>
                </c:pt>
                <c:pt idx="9">
                  <c:v>60</c:v>
                </c:pt>
                <c:pt idx="10">
                  <c:v>360</c:v>
                </c:pt>
                <c:pt idx="11">
                  <c:v>25</c:v>
                </c:pt>
                <c:pt idx="12">
                  <c:v>75</c:v>
                </c:pt>
                <c:pt idx="13">
                  <c:v>180</c:v>
                </c:pt>
                <c:pt idx="14">
                  <c:v>100</c:v>
                </c:pt>
                <c:pt idx="15">
                  <c:v>180</c:v>
                </c:pt>
                <c:pt idx="16">
                  <c:v>75</c:v>
                </c:pt>
                <c:pt idx="17">
                  <c:v>30</c:v>
                </c:pt>
                <c:pt idx="18">
                  <c:v>180</c:v>
                </c:pt>
                <c:pt idx="19">
                  <c:v>45</c:v>
                </c:pt>
                <c:pt idx="20">
                  <c:v>50</c:v>
                </c:pt>
                <c:pt idx="21">
                  <c:v>75</c:v>
                </c:pt>
              </c:numCache>
            </c:numRef>
          </c:val>
          <c:extLst>
            <c:ext xmlns:c16="http://schemas.microsoft.com/office/drawing/2014/chart" uri="{C3380CC4-5D6E-409C-BE32-E72D297353CC}">
              <c16:uniqueId val="{00000000-3AE2-4F73-BCAD-67CE1836476C}"/>
            </c:ext>
          </c:extLst>
        </c:ser>
        <c:dLbls>
          <c:showLegendKey val="0"/>
          <c:showVal val="0"/>
          <c:showCatName val="0"/>
          <c:showSerName val="0"/>
          <c:showPercent val="0"/>
          <c:showBubbleSize val="0"/>
        </c:dLbls>
        <c:gapWidth val="219"/>
        <c:overlap val="-27"/>
        <c:axId val="7132167"/>
        <c:axId val="7134215"/>
      </c:barChart>
      <c:catAx>
        <c:axId val="7132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4215"/>
        <c:crosses val="autoZero"/>
        <c:auto val="1"/>
        <c:lblAlgn val="ctr"/>
        <c:lblOffset val="100"/>
        <c:noMultiLvlLbl val="0"/>
      </c:catAx>
      <c:valAx>
        <c:axId val="7134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21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7</xdr:col>
      <xdr:colOff>533400</xdr:colOff>
      <xdr:row>25</xdr:row>
      <xdr:rowOff>0</xdr:rowOff>
    </xdr:from>
    <xdr:to>
      <xdr:col>19</xdr:col>
      <xdr:colOff>447675</xdr:colOff>
      <xdr:row>33</xdr:row>
      <xdr:rowOff>133350</xdr:rowOff>
    </xdr:to>
    <xdr:graphicFrame macro="">
      <xdr:nvGraphicFramePr>
        <xdr:cNvPr id="2" name="Graphique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247650</xdr:colOff>
      <xdr:row>11</xdr:row>
      <xdr:rowOff>171450</xdr:rowOff>
    </xdr:from>
    <xdr:to>
      <xdr:col>19</xdr:col>
      <xdr:colOff>390525</xdr:colOff>
      <xdr:row>20</xdr:row>
      <xdr:rowOff>133350</xdr:rowOff>
    </xdr:to>
    <xdr:graphicFrame macro="">
      <xdr:nvGraphicFramePr>
        <xdr:cNvPr id="4" name="Graphique 3">
          <a:extLst>
            <a:ext uri="{FF2B5EF4-FFF2-40B4-BE49-F238E27FC236}">
              <a16:creationId xmlns:a16="http://schemas.microsoft.com/office/drawing/2014/main" id="{00000000-0008-0000-0100-000004000000}"/>
            </a:ext>
            <a:ext uri="{147F2762-F138-4A5C-976F-8EAC2B608ADB}">
              <a16:predDERef xmlns:a16="http://schemas.microsoft.com/office/drawing/2014/main" pre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476250</xdr:colOff>
      <xdr:row>38</xdr:row>
      <xdr:rowOff>76200</xdr:rowOff>
    </xdr:from>
    <xdr:to>
      <xdr:col>19</xdr:col>
      <xdr:colOff>485775</xdr:colOff>
      <xdr:row>48</xdr:row>
      <xdr:rowOff>95250</xdr:rowOff>
    </xdr:to>
    <xdr:graphicFrame macro="">
      <xdr:nvGraphicFramePr>
        <xdr:cNvPr id="6" name="Graphique 5">
          <a:extLst>
            <a:ext uri="{FF2B5EF4-FFF2-40B4-BE49-F238E27FC236}">
              <a16:creationId xmlns:a16="http://schemas.microsoft.com/office/drawing/2014/main" id="{190FB515-0792-72F2-7574-032A5403D0EB}"/>
            </a:ext>
            <a:ext uri="{147F2762-F138-4A5C-976F-8EAC2B608ADB}">
              <a16:predDERef xmlns:a16="http://schemas.microsoft.com/office/drawing/2014/main" pre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257175</xdr:colOff>
      <xdr:row>1</xdr:row>
      <xdr:rowOff>123825</xdr:rowOff>
    </xdr:from>
    <xdr:to>
      <xdr:col>19</xdr:col>
      <xdr:colOff>390525</xdr:colOff>
      <xdr:row>6</xdr:row>
      <xdr:rowOff>152400</xdr:rowOff>
    </xdr:to>
    <xdr:sp macro="" textlink="">
      <xdr:nvSpPr>
        <xdr:cNvPr id="5" name="ZoneTexte 4">
          <a:extLst>
            <a:ext uri="{FF2B5EF4-FFF2-40B4-BE49-F238E27FC236}">
              <a16:creationId xmlns:a16="http://schemas.microsoft.com/office/drawing/2014/main" id="{16877D2C-157B-5200-3C99-3B2646C27DC5}"/>
            </a:ext>
            <a:ext uri="{147F2762-F138-4A5C-976F-8EAC2B608ADB}">
              <a16:predDERef xmlns:a16="http://schemas.microsoft.com/office/drawing/2014/main" pred="{190FB515-0792-72F2-7574-032A5403D0EB}"/>
            </a:ext>
          </a:extLst>
        </xdr:cNvPr>
        <xdr:cNvSpPr txBox="1"/>
      </xdr:nvSpPr>
      <xdr:spPr>
        <a:xfrm>
          <a:off x="2447925" y="361950"/>
          <a:ext cx="8229600" cy="98107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Cette analyse porte sur les transactions de septembre 2026 présentes dans le fichier fourni dont les données sont fictives. Les tableaux croisésdynamiques totalisent 2 470 € de chiffre d’affaires répartis entre trois villes, trois catégories de produits et quatrevendeurs. Paris est la première ville en chiffre d’affaires, tandis que les écrans représentent la principale contribution au</a:t>
          </a:r>
        </a:p>
        <a:p>
          <a:pPr marL="0" indent="0" algn="l"/>
          <a:r>
            <a:rPr lang="en-US" sz="1100">
              <a:latin typeface="+mn-lt"/>
              <a:ea typeface="+mn-lt"/>
              <a:cs typeface="+mn-lt"/>
            </a:rPr>
            <a:t>revenu. Ces résultats décrivent le chiffre d’affaires enregistré ; ils ne permettent pas, à eux seuls, de conclure sur lamarge ou la rentabilité.</a:t>
          </a:r>
        </a:p>
      </xdr:txBody>
    </xdr:sp>
    <xdr:clientData/>
  </xdr:twoCellAnchor>
  <xdr:twoCellAnchor>
    <xdr:from>
      <xdr:col>4</xdr:col>
      <xdr:colOff>19050</xdr:colOff>
      <xdr:row>8</xdr:row>
      <xdr:rowOff>133350</xdr:rowOff>
    </xdr:from>
    <xdr:to>
      <xdr:col>19</xdr:col>
      <xdr:colOff>400050</xdr:colOff>
      <xdr:row>11</xdr:row>
      <xdr:rowOff>114300</xdr:rowOff>
    </xdr:to>
    <xdr:sp macro="" textlink="">
      <xdr:nvSpPr>
        <xdr:cNvPr id="24" name="ZoneTexte 6">
          <a:extLst>
            <a:ext uri="{FF2B5EF4-FFF2-40B4-BE49-F238E27FC236}">
              <a16:creationId xmlns:a16="http://schemas.microsoft.com/office/drawing/2014/main" id="{E9314E52-0BDB-4133-F8FD-8F5CF91FC00E}"/>
            </a:ext>
            <a:ext uri="{147F2762-F138-4A5C-976F-8EAC2B608ADB}">
              <a16:predDERef xmlns:a16="http://schemas.microsoft.com/office/drawing/2014/main" pred="{16877D2C-157B-5200-3C99-3B2646C27DC5}"/>
            </a:ext>
          </a:extLst>
        </xdr:cNvPr>
        <xdr:cNvSpPr txBox="1"/>
      </xdr:nvSpPr>
      <xdr:spPr>
        <a:xfrm>
          <a:off x="2647950" y="1704975"/>
          <a:ext cx="8039100" cy="55245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Ce tableau présente le chiffre d'affaires et son pourcentage générés.L'ordre est en fonction du chiffre d'affaire du plus important au moins. Il permet de comparer les performances commerciales et d'identifier les produits qui contribuent le plus au chiffre d'affaires total.</a:t>
          </a:r>
        </a:p>
      </xdr:txBody>
    </xdr:sp>
    <xdr:clientData/>
  </xdr:twoCellAnchor>
  <xdr:twoCellAnchor>
    <xdr:from>
      <xdr:col>3</xdr:col>
      <xdr:colOff>247650</xdr:colOff>
      <xdr:row>7</xdr:row>
      <xdr:rowOff>9525</xdr:rowOff>
    </xdr:from>
    <xdr:to>
      <xdr:col>6</xdr:col>
      <xdr:colOff>285750</xdr:colOff>
      <xdr:row>8</xdr:row>
      <xdr:rowOff>104775</xdr:rowOff>
    </xdr:to>
    <xdr:sp macro="" textlink="">
      <xdr:nvSpPr>
        <xdr:cNvPr id="23" name="ZoneTexte 7">
          <a:extLst>
            <a:ext uri="{FF2B5EF4-FFF2-40B4-BE49-F238E27FC236}">
              <a16:creationId xmlns:a16="http://schemas.microsoft.com/office/drawing/2014/main" id="{D003D0C2-CC66-FAD6-ACAE-2D5F65D5628A}"/>
            </a:ext>
            <a:ext uri="{147F2762-F138-4A5C-976F-8EAC2B608ADB}">
              <a16:predDERef xmlns:a16="http://schemas.microsoft.com/office/drawing/2014/main" pred="{E9314E52-0BDB-4133-F8FD-8F5CF91FC00E}"/>
            </a:ext>
          </a:extLst>
        </xdr:cNvPr>
        <xdr:cNvSpPr txBox="1"/>
      </xdr:nvSpPr>
      <xdr:spPr>
        <a:xfrm>
          <a:off x="2438400" y="1390650"/>
          <a:ext cx="1828800" cy="28575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400" b="1">
              <a:latin typeface="+mn-lt"/>
              <a:ea typeface="+mn-lt"/>
              <a:cs typeface="+mn-lt"/>
            </a:rPr>
            <a:t>Analyse parProduit</a:t>
          </a:r>
        </a:p>
      </xdr:txBody>
    </xdr:sp>
    <xdr:clientData/>
  </xdr:twoCellAnchor>
  <xdr:twoCellAnchor>
    <xdr:from>
      <xdr:col>4</xdr:col>
      <xdr:colOff>9525</xdr:colOff>
      <xdr:row>17</xdr:row>
      <xdr:rowOff>38100</xdr:rowOff>
    </xdr:from>
    <xdr:to>
      <xdr:col>7</xdr:col>
      <xdr:colOff>209550</xdr:colOff>
      <xdr:row>20</xdr:row>
      <xdr:rowOff>161925</xdr:rowOff>
    </xdr:to>
    <xdr:sp macro="" textlink="">
      <xdr:nvSpPr>
        <xdr:cNvPr id="25" name="ZoneTexte 24">
          <a:extLst>
            <a:ext uri="{FF2B5EF4-FFF2-40B4-BE49-F238E27FC236}">
              <a16:creationId xmlns:a16="http://schemas.microsoft.com/office/drawing/2014/main" id="{6D27FCED-CA46-C04C-00B8-198B213DF74B}"/>
            </a:ext>
            <a:ext uri="{147F2762-F138-4A5C-976F-8EAC2B608ADB}">
              <a16:predDERef xmlns:a16="http://schemas.microsoft.com/office/drawing/2014/main" pred="{D003D0C2-CC66-FAD6-ACAE-2D5F65D5628A}"/>
            </a:ext>
          </a:extLst>
        </xdr:cNvPr>
        <xdr:cNvSpPr txBox="1"/>
      </xdr:nvSpPr>
      <xdr:spPr>
        <a:xfrm>
          <a:off x="2638425" y="3324225"/>
          <a:ext cx="2295525" cy="69532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Ecran génére beaucoup plus de chiffre d'affaires avec un montant de 1440 Euros soit 58% du chiffre d'affaires total.</a:t>
          </a:r>
        </a:p>
      </xdr:txBody>
    </xdr:sp>
    <xdr:clientData/>
  </xdr:twoCellAnchor>
  <xdr:twoCellAnchor>
    <xdr:from>
      <xdr:col>3</xdr:col>
      <xdr:colOff>266700</xdr:colOff>
      <xdr:row>21</xdr:row>
      <xdr:rowOff>19050</xdr:rowOff>
    </xdr:from>
    <xdr:to>
      <xdr:col>6</xdr:col>
      <xdr:colOff>304800</xdr:colOff>
      <xdr:row>22</xdr:row>
      <xdr:rowOff>114300</xdr:rowOff>
    </xdr:to>
    <xdr:sp macro="" textlink="">
      <xdr:nvSpPr>
        <xdr:cNvPr id="26" name="ZoneTexte 25">
          <a:extLst>
            <a:ext uri="{FF2B5EF4-FFF2-40B4-BE49-F238E27FC236}">
              <a16:creationId xmlns:a16="http://schemas.microsoft.com/office/drawing/2014/main" id="{64ED1E78-3047-43AF-9E7E-B6F9321E3181}"/>
            </a:ext>
            <a:ext uri="{147F2762-F138-4A5C-976F-8EAC2B608ADB}">
              <a16:predDERef xmlns:a16="http://schemas.microsoft.com/office/drawing/2014/main" pred="{6D27FCED-CA46-C04C-00B8-198B213DF74B}"/>
            </a:ext>
          </a:extLst>
        </xdr:cNvPr>
        <xdr:cNvSpPr txBox="1"/>
      </xdr:nvSpPr>
      <xdr:spPr>
        <a:xfrm>
          <a:off x="2457450" y="4067175"/>
          <a:ext cx="1828800" cy="285750"/>
        </a:xfrm>
        <a:prstGeom prst="rect">
          <a:avLst/>
        </a:prstGeom>
        <a:solidFill>
          <a:schemeClr val="lt1"/>
        </a:solidFill>
        <a:ln w="9525" cmpd="sng">
          <a:solidFill>
            <a:schemeClr val="lt1">
              <a:shade val="50000"/>
            </a:schemeClr>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400" b="1">
              <a:latin typeface="+mn-lt"/>
              <a:ea typeface="+mn-lt"/>
              <a:cs typeface="+mn-lt"/>
            </a:rPr>
            <a:t>Analyse par Ville</a:t>
          </a:r>
        </a:p>
      </xdr:txBody>
    </xdr:sp>
    <xdr:clientData/>
  </xdr:twoCellAnchor>
  <xdr:twoCellAnchor>
    <xdr:from>
      <xdr:col>4</xdr:col>
      <xdr:colOff>28575</xdr:colOff>
      <xdr:row>22</xdr:row>
      <xdr:rowOff>142875</xdr:rowOff>
    </xdr:from>
    <xdr:to>
      <xdr:col>19</xdr:col>
      <xdr:colOff>438150</xdr:colOff>
      <xdr:row>24</xdr:row>
      <xdr:rowOff>171450</xdr:rowOff>
    </xdr:to>
    <xdr:sp macro="" textlink="">
      <xdr:nvSpPr>
        <xdr:cNvPr id="27" name="ZoneTexte 26">
          <a:extLst>
            <a:ext uri="{FF2B5EF4-FFF2-40B4-BE49-F238E27FC236}">
              <a16:creationId xmlns:a16="http://schemas.microsoft.com/office/drawing/2014/main" id="{0A9F35B9-2CCF-DBC3-9FC5-1DD12FBF6CDF}"/>
            </a:ext>
            <a:ext uri="{147F2762-F138-4A5C-976F-8EAC2B608ADB}">
              <a16:predDERef xmlns:a16="http://schemas.microsoft.com/office/drawing/2014/main" pred="{64ED1E78-3047-43AF-9E7E-B6F9321E3181}"/>
            </a:ext>
          </a:extLst>
        </xdr:cNvPr>
        <xdr:cNvSpPr txBox="1"/>
      </xdr:nvSpPr>
      <xdr:spPr>
        <a:xfrm>
          <a:off x="2657475" y="4381500"/>
          <a:ext cx="8067675" cy="40957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Ce tableau compare les ventes réalisées dans les différentes villes. Il permet de repérer les marchés géographiques les plus performants et ceux dans lesquels des actions commerciales pourraient être envisagées.</a:t>
          </a:r>
        </a:p>
      </xdr:txBody>
    </xdr:sp>
    <xdr:clientData/>
  </xdr:twoCellAnchor>
  <xdr:twoCellAnchor>
    <xdr:from>
      <xdr:col>4</xdr:col>
      <xdr:colOff>0</xdr:colOff>
      <xdr:row>30</xdr:row>
      <xdr:rowOff>9525</xdr:rowOff>
    </xdr:from>
    <xdr:to>
      <xdr:col>7</xdr:col>
      <xdr:colOff>333375</xdr:colOff>
      <xdr:row>33</xdr:row>
      <xdr:rowOff>133350</xdr:rowOff>
    </xdr:to>
    <xdr:sp macro="" textlink="">
      <xdr:nvSpPr>
        <xdr:cNvPr id="7" name="ZoneTexte 6">
          <a:extLst>
            <a:ext uri="{FF2B5EF4-FFF2-40B4-BE49-F238E27FC236}">
              <a16:creationId xmlns:a16="http://schemas.microsoft.com/office/drawing/2014/main" id="{83FAD61C-2003-47DB-8444-38A7B8C4EC8C}"/>
            </a:ext>
            <a:ext uri="{147F2762-F138-4A5C-976F-8EAC2B608ADB}">
              <a16:predDERef xmlns:a16="http://schemas.microsoft.com/office/drawing/2014/main" pred="{0A9F35B9-2CCF-DBC3-9FC5-1DD12FBF6CDF}"/>
            </a:ext>
          </a:extLst>
        </xdr:cNvPr>
        <xdr:cNvSpPr txBox="1"/>
      </xdr:nvSpPr>
      <xdr:spPr>
        <a:xfrm>
          <a:off x="2628900" y="5772150"/>
          <a:ext cx="2428875" cy="695325"/>
        </a:xfrm>
        <a:prstGeom prst="rect">
          <a:avLst/>
        </a:prstGeom>
        <a:solidFill>
          <a:schemeClr val="lt1"/>
        </a:solidFill>
        <a:ln w="9525" cmpd="sng">
          <a:solidFill>
            <a:schemeClr val="lt1">
              <a:shade val="50000"/>
            </a:schemeClr>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a:latin typeface="+mn-lt"/>
              <a:ea typeface="+mn-lt"/>
              <a:cs typeface="+mn-lt"/>
            </a:rPr>
            <a:t>Paris génére beaucoup plus de chiffre d'affaires avec un mont de 990 Euros soit 40% du chiffre d'affaire total.</a:t>
          </a:r>
        </a:p>
      </xdr:txBody>
    </xdr:sp>
    <xdr:clientData/>
  </xdr:twoCellAnchor>
  <xdr:twoCellAnchor>
    <xdr:from>
      <xdr:col>3</xdr:col>
      <xdr:colOff>238125</xdr:colOff>
      <xdr:row>34</xdr:row>
      <xdr:rowOff>0</xdr:rowOff>
    </xdr:from>
    <xdr:to>
      <xdr:col>6</xdr:col>
      <xdr:colOff>276225</xdr:colOff>
      <xdr:row>35</xdr:row>
      <xdr:rowOff>95250</xdr:rowOff>
    </xdr:to>
    <xdr:sp macro="" textlink="">
      <xdr:nvSpPr>
        <xdr:cNvPr id="8" name="ZoneTexte 7">
          <a:extLst>
            <a:ext uri="{FF2B5EF4-FFF2-40B4-BE49-F238E27FC236}">
              <a16:creationId xmlns:a16="http://schemas.microsoft.com/office/drawing/2014/main" id="{BE78BDBE-0903-43FB-8F5D-833BBC1BAA68}"/>
            </a:ext>
            <a:ext uri="{147F2762-F138-4A5C-976F-8EAC2B608ADB}">
              <a16:predDERef xmlns:a16="http://schemas.microsoft.com/office/drawing/2014/main" pred="{83FAD61C-2003-47DB-8444-38A7B8C4EC8C}"/>
            </a:ext>
          </a:extLst>
        </xdr:cNvPr>
        <xdr:cNvSpPr txBox="1"/>
      </xdr:nvSpPr>
      <xdr:spPr>
        <a:xfrm>
          <a:off x="2428875" y="6524625"/>
          <a:ext cx="1828800" cy="285750"/>
        </a:xfrm>
        <a:prstGeom prst="rect">
          <a:avLst/>
        </a:prstGeom>
        <a:solidFill>
          <a:schemeClr val="lt1"/>
        </a:solidFill>
        <a:ln w="9525" cmpd="sng">
          <a:solidFill>
            <a:schemeClr val="lt1">
              <a:shade val="50000"/>
            </a:schemeClr>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400" b="1">
              <a:latin typeface="+mn-lt"/>
              <a:ea typeface="+mn-lt"/>
              <a:cs typeface="+mn-lt"/>
            </a:rPr>
            <a:t>Analyse par Vendeur</a:t>
          </a:r>
        </a:p>
      </xdr:txBody>
    </xdr:sp>
    <xdr:clientData/>
  </xdr:twoCellAnchor>
  <xdr:twoCellAnchor>
    <xdr:from>
      <xdr:col>3</xdr:col>
      <xdr:colOff>428625</xdr:colOff>
      <xdr:row>35</xdr:row>
      <xdr:rowOff>180975</xdr:rowOff>
    </xdr:from>
    <xdr:to>
      <xdr:col>19</xdr:col>
      <xdr:colOff>485775</xdr:colOff>
      <xdr:row>38</xdr:row>
      <xdr:rowOff>19050</xdr:rowOff>
    </xdr:to>
    <xdr:sp macro="" textlink="">
      <xdr:nvSpPr>
        <xdr:cNvPr id="9" name="ZoneTexte 8">
          <a:extLst>
            <a:ext uri="{FF2B5EF4-FFF2-40B4-BE49-F238E27FC236}">
              <a16:creationId xmlns:a16="http://schemas.microsoft.com/office/drawing/2014/main" id="{712D24EE-067B-4764-B97E-920C7D482D5F}"/>
            </a:ext>
            <a:ext uri="{147F2762-F138-4A5C-976F-8EAC2B608ADB}">
              <a16:predDERef xmlns:a16="http://schemas.microsoft.com/office/drawing/2014/main" pred="{BE78BDBE-0903-43FB-8F5D-833BBC1BAA68}"/>
            </a:ext>
          </a:extLst>
        </xdr:cNvPr>
        <xdr:cNvSpPr txBox="1"/>
      </xdr:nvSpPr>
      <xdr:spPr>
        <a:xfrm>
          <a:off x="2619375" y="6896100"/>
          <a:ext cx="8153400" cy="409575"/>
        </a:xfrm>
        <a:prstGeom prst="rect">
          <a:avLst/>
        </a:prstGeom>
        <a:solidFill>
          <a:schemeClr val="lt1"/>
        </a:solidFill>
        <a:ln w="9525" cmpd="sng">
          <a:solidFill>
            <a:schemeClr val="lt1">
              <a:shade val="50000"/>
            </a:schemeClr>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a:latin typeface="+mn-lt"/>
              <a:ea typeface="+mn-lt"/>
              <a:cs typeface="+mn-lt"/>
            </a:rPr>
            <a:t>Ce tableau compare les ventes réalisées dans les différents vendeurs. Il permet de déterminer lequel des vendeurs contribue plus au chiffre d'affaires.</a:t>
          </a:r>
        </a:p>
      </xdr:txBody>
    </xdr:sp>
    <xdr:clientData/>
  </xdr:twoCellAnchor>
  <xdr:twoCellAnchor>
    <xdr:from>
      <xdr:col>3</xdr:col>
      <xdr:colOff>428625</xdr:colOff>
      <xdr:row>44</xdr:row>
      <xdr:rowOff>171450</xdr:rowOff>
    </xdr:from>
    <xdr:to>
      <xdr:col>7</xdr:col>
      <xdr:colOff>457200</xdr:colOff>
      <xdr:row>48</xdr:row>
      <xdr:rowOff>104775</xdr:rowOff>
    </xdr:to>
    <xdr:sp macro="" textlink="">
      <xdr:nvSpPr>
        <xdr:cNvPr id="10" name="ZoneTexte 9">
          <a:extLst>
            <a:ext uri="{FF2B5EF4-FFF2-40B4-BE49-F238E27FC236}">
              <a16:creationId xmlns:a16="http://schemas.microsoft.com/office/drawing/2014/main" id="{B2070DB4-DA67-499D-93C4-20A0983C8868}"/>
            </a:ext>
            <a:ext uri="{147F2762-F138-4A5C-976F-8EAC2B608ADB}">
              <a16:predDERef xmlns:a16="http://schemas.microsoft.com/office/drawing/2014/main" pred="{712D24EE-067B-4764-B97E-920C7D482D5F}"/>
            </a:ext>
          </a:extLst>
        </xdr:cNvPr>
        <xdr:cNvSpPr txBox="1"/>
      </xdr:nvSpPr>
      <xdr:spPr>
        <a:xfrm>
          <a:off x="2619375" y="8601075"/>
          <a:ext cx="2562225" cy="695325"/>
        </a:xfrm>
        <a:prstGeom prst="rect">
          <a:avLst/>
        </a:prstGeom>
        <a:solidFill>
          <a:schemeClr val="lt1"/>
        </a:solidFill>
        <a:ln w="9525" cmpd="sng">
          <a:solidFill>
            <a:schemeClr val="lt1">
              <a:shade val="50000"/>
            </a:schemeClr>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a:latin typeface="+mn-lt"/>
              <a:ea typeface="+mn-lt"/>
              <a:cs typeface="+mn-lt"/>
            </a:rPr>
            <a:t>Lina contribue plus au chiffre d'affaire avec un montant de 815 euros soit 33% du chiffre d'affaires global</a:t>
          </a:r>
        </a:p>
      </xdr:txBody>
    </xdr:sp>
    <xdr:clientData/>
  </xdr:twoCellAnchor>
  <xdr:twoCellAnchor>
    <xdr:from>
      <xdr:col>3</xdr:col>
      <xdr:colOff>228600</xdr:colOff>
      <xdr:row>48</xdr:row>
      <xdr:rowOff>171450</xdr:rowOff>
    </xdr:from>
    <xdr:to>
      <xdr:col>6</xdr:col>
      <xdr:colOff>266700</xdr:colOff>
      <xdr:row>50</xdr:row>
      <xdr:rowOff>76200</xdr:rowOff>
    </xdr:to>
    <xdr:sp macro="" textlink="">
      <xdr:nvSpPr>
        <xdr:cNvPr id="11" name="ZoneTexte 10">
          <a:extLst>
            <a:ext uri="{FF2B5EF4-FFF2-40B4-BE49-F238E27FC236}">
              <a16:creationId xmlns:a16="http://schemas.microsoft.com/office/drawing/2014/main" id="{DF070B53-70C9-4FE5-AE98-4ACA057C1CA9}"/>
            </a:ext>
            <a:ext uri="{147F2762-F138-4A5C-976F-8EAC2B608ADB}">
              <a16:predDERef xmlns:a16="http://schemas.microsoft.com/office/drawing/2014/main" pred="{B2070DB4-DA67-499D-93C4-20A0983C8868}"/>
            </a:ext>
          </a:extLst>
        </xdr:cNvPr>
        <xdr:cNvSpPr txBox="1"/>
      </xdr:nvSpPr>
      <xdr:spPr>
        <a:xfrm>
          <a:off x="2419350" y="9363075"/>
          <a:ext cx="1828800" cy="285750"/>
        </a:xfrm>
        <a:prstGeom prst="rect">
          <a:avLst/>
        </a:prstGeom>
        <a:solidFill>
          <a:schemeClr val="lt1"/>
        </a:solidFill>
        <a:ln w="9525" cmpd="sng">
          <a:solidFill>
            <a:schemeClr val="lt1">
              <a:shade val="50000"/>
            </a:schemeClr>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400" b="1">
              <a:latin typeface="+mn-lt"/>
              <a:ea typeface="+mn-lt"/>
              <a:cs typeface="+mn-lt"/>
            </a:rPr>
            <a:t>Analyse par jour</a:t>
          </a:r>
        </a:p>
      </xdr:txBody>
    </xdr:sp>
    <xdr:clientData/>
  </xdr:twoCellAnchor>
  <xdr:twoCellAnchor>
    <xdr:from>
      <xdr:col>3</xdr:col>
      <xdr:colOff>428625</xdr:colOff>
      <xdr:row>50</xdr:row>
      <xdr:rowOff>95250</xdr:rowOff>
    </xdr:from>
    <xdr:to>
      <xdr:col>19</xdr:col>
      <xdr:colOff>552450</xdr:colOff>
      <xdr:row>52</xdr:row>
      <xdr:rowOff>66675</xdr:rowOff>
    </xdr:to>
    <xdr:sp macro="" textlink="">
      <xdr:nvSpPr>
        <xdr:cNvPr id="13" name="ZoneTexte 12">
          <a:extLst>
            <a:ext uri="{FF2B5EF4-FFF2-40B4-BE49-F238E27FC236}">
              <a16:creationId xmlns:a16="http://schemas.microsoft.com/office/drawing/2014/main" id="{2808279F-CA26-44CA-900E-EE4707E5F95C}"/>
            </a:ext>
            <a:ext uri="{147F2762-F138-4A5C-976F-8EAC2B608ADB}">
              <a16:predDERef xmlns:a16="http://schemas.microsoft.com/office/drawing/2014/main" pred="{DF070B53-70C9-4FE5-AE98-4ACA057C1CA9}"/>
            </a:ext>
          </a:extLst>
        </xdr:cNvPr>
        <xdr:cNvSpPr txBox="1"/>
      </xdr:nvSpPr>
      <xdr:spPr>
        <a:xfrm>
          <a:off x="2619375" y="9667875"/>
          <a:ext cx="8220075" cy="352425"/>
        </a:xfrm>
        <a:prstGeom prst="rect">
          <a:avLst/>
        </a:prstGeom>
        <a:solidFill>
          <a:schemeClr val="lt1"/>
        </a:solidFill>
        <a:ln w="9525" cmpd="sng">
          <a:solidFill>
            <a:schemeClr val="lt1">
              <a:shade val="50000"/>
            </a:schemeClr>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a:latin typeface="+mn-lt"/>
              <a:ea typeface="+mn-lt"/>
              <a:cs typeface="+mn-lt"/>
            </a:rPr>
            <a:t>Ce tableau montre l'évolution de chiffre d'affaire par jour. il permet de déterminer le jour auquel l'entreprise a généré beaucoup plus de chiffre d'affaires.</a:t>
          </a:r>
        </a:p>
      </xdr:txBody>
    </xdr:sp>
    <xdr:clientData/>
  </xdr:twoCellAnchor>
  <xdr:twoCellAnchor>
    <xdr:from>
      <xdr:col>7</xdr:col>
      <xdr:colOff>95250</xdr:colOff>
      <xdr:row>52</xdr:row>
      <xdr:rowOff>152400</xdr:rowOff>
    </xdr:from>
    <xdr:to>
      <xdr:col>19</xdr:col>
      <xdr:colOff>552450</xdr:colOff>
      <xdr:row>76</xdr:row>
      <xdr:rowOff>161925</xdr:rowOff>
    </xdr:to>
    <xdr:graphicFrame macro="">
      <xdr:nvGraphicFramePr>
        <xdr:cNvPr id="14" name="Graphique 13">
          <a:extLst>
            <a:ext uri="{FF2B5EF4-FFF2-40B4-BE49-F238E27FC236}">
              <a16:creationId xmlns:a16="http://schemas.microsoft.com/office/drawing/2014/main" id="{9F07B730-254B-898A-9636-B950353B2876}"/>
            </a:ext>
            <a:ext uri="{147F2762-F138-4A5C-976F-8EAC2B608ADB}">
              <a16:predDERef xmlns:a16="http://schemas.microsoft.com/office/drawing/2014/main" pred="{2808279F-CA26-44CA-900E-EE4707E5F9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47625</xdr:colOff>
      <xdr:row>77</xdr:row>
      <xdr:rowOff>0</xdr:rowOff>
    </xdr:from>
    <xdr:to>
      <xdr:col>19</xdr:col>
      <xdr:colOff>571500</xdr:colOff>
      <xdr:row>79</xdr:row>
      <xdr:rowOff>28575</xdr:rowOff>
    </xdr:to>
    <xdr:sp macro="" textlink="">
      <xdr:nvSpPr>
        <xdr:cNvPr id="3" name="ZoneTexte 2">
          <a:extLst>
            <a:ext uri="{FF2B5EF4-FFF2-40B4-BE49-F238E27FC236}">
              <a16:creationId xmlns:a16="http://schemas.microsoft.com/office/drawing/2014/main" id="{7CC696FB-45B6-4B4B-ACCA-446049F7E9A2}"/>
            </a:ext>
            <a:ext uri="{147F2762-F138-4A5C-976F-8EAC2B608ADB}">
              <a16:predDERef xmlns:a16="http://schemas.microsoft.com/office/drawing/2014/main" pred="{9F07B730-254B-898A-9636-B950353B2876}"/>
            </a:ext>
          </a:extLst>
        </xdr:cNvPr>
        <xdr:cNvSpPr txBox="1"/>
      </xdr:nvSpPr>
      <xdr:spPr>
        <a:xfrm>
          <a:off x="2676525" y="14716125"/>
          <a:ext cx="8181975" cy="409575"/>
        </a:xfrm>
        <a:prstGeom prst="rect">
          <a:avLst/>
        </a:prstGeom>
        <a:solidFill>
          <a:schemeClr val="lt1"/>
        </a:solidFill>
        <a:ln w="9525" cmpd="sng">
          <a:solidFill>
            <a:schemeClr val="lt1">
              <a:shade val="50000"/>
            </a:schemeClr>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a:latin typeface="+mn-lt"/>
              <a:ea typeface="+mn-lt"/>
              <a:cs typeface="+mn-lt"/>
            </a:rPr>
            <a:t>Le 07 et le 11 septembre, l'entreprise à réalisé plus de chiffre d'affaires avec un montant de 360 Euros. </a:t>
          </a:r>
        </a:p>
        <a:p>
          <a:pPr marL="0" indent="0" algn="l"/>
          <a:r>
            <a:rPr lang="en-US" sz="1100">
              <a:latin typeface="+mn-lt"/>
              <a:ea typeface="+mn-lt"/>
              <a:cs typeface="+mn-lt"/>
            </a:rPr>
            <a:t>Le 03, le 14, le 16, et le 20, occupent la deuxième place ave un montant de 180 Euros.</a:t>
          </a:r>
        </a:p>
      </xdr:txBody>
    </xdr:sp>
    <xdr:clientData/>
  </xdr:twoCellAnchor>
  <xdr:twoCellAnchor>
    <xdr:from>
      <xdr:col>6</xdr:col>
      <xdr:colOff>304800</xdr:colOff>
      <xdr:row>0</xdr:row>
      <xdr:rowOff>0</xdr:rowOff>
    </xdr:from>
    <xdr:to>
      <xdr:col>12</xdr:col>
      <xdr:colOff>76200</xdr:colOff>
      <xdr:row>1</xdr:row>
      <xdr:rowOff>47625</xdr:rowOff>
    </xdr:to>
    <xdr:sp macro="" textlink="">
      <xdr:nvSpPr>
        <xdr:cNvPr id="12" name="ZoneTexte 11">
          <a:extLst>
            <a:ext uri="{FF2B5EF4-FFF2-40B4-BE49-F238E27FC236}">
              <a16:creationId xmlns:a16="http://schemas.microsoft.com/office/drawing/2014/main" id="{7056B861-148A-608F-E925-AA7E253A1E07}"/>
            </a:ext>
            <a:ext uri="{147F2762-F138-4A5C-976F-8EAC2B608ADB}">
              <a16:predDERef xmlns:a16="http://schemas.microsoft.com/office/drawing/2014/main" pred="{7CC696FB-45B6-4B4B-ACCA-446049F7E9A2}"/>
            </a:ext>
          </a:extLst>
        </xdr:cNvPr>
        <xdr:cNvSpPr txBox="1"/>
      </xdr:nvSpPr>
      <xdr:spPr>
        <a:xfrm>
          <a:off x="4286250" y="0"/>
          <a:ext cx="3209925" cy="28575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600" b="1">
              <a:latin typeface="+mn-lt"/>
              <a:ea typeface="+mn-lt"/>
              <a:cs typeface="+mn-lt"/>
            </a:rPr>
            <a:t>Analyse des différentes ventes-2026</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Date="0" createdVersion="3" recordCount="23" xr:uid="{00000000-000A-0000-FFFF-FFFF01000000}">
  <cacheSource type="worksheet">
    <worksheetSource ref="A1:H24" sheet="Nettoyage_data"/>
  </cacheSource>
  <cacheFields count="8">
    <cacheField name="ID" numFmtId="0">
      <sharedItems count="23">
        <s v="1001"/>
        <s v="1002"/>
        <s v="1003"/>
        <s v="1004"/>
        <s v="1005"/>
        <s v="1006"/>
        <s v="1007"/>
        <s v="1008"/>
        <s v="1009"/>
        <s v="1010"/>
        <s v="1011"/>
        <s v="1012"/>
        <s v="1013"/>
        <s v="1014"/>
        <s v="1015"/>
        <s v="1016"/>
        <s v="1017"/>
        <s v="1018"/>
        <s v="1020"/>
        <s v="1021"/>
        <s v="1022"/>
        <s v="1024"/>
        <s v="Totaux"/>
      </sharedItems>
    </cacheField>
    <cacheField name="Date" numFmtId="0">
      <sharedItems containsBlank="1" count="23">
        <s v="2026-09-01"/>
        <s v="2026-09-02"/>
        <s v="2026-09-03"/>
        <s v="2026-09-04"/>
        <s v="2026-09-05"/>
        <s v="2026-09-06"/>
        <s v="2026-09-07"/>
        <s v="2026-09-08"/>
        <s v="2026-09-09"/>
        <s v="2026-09-10"/>
        <s v="2026-09-11"/>
        <s v="2026-09-12"/>
        <s v="2026-09-13"/>
        <s v="2026-09-14"/>
        <s v="2026-09-15"/>
        <s v="2026-09-16"/>
        <s v="2026-09-17"/>
        <s v="2026-09-18"/>
        <s v="2026-09-20"/>
        <s v="2026-09-21"/>
        <s v="2026-09-22"/>
        <s v="2026-09-24"/>
        <m/>
      </sharedItems>
    </cacheField>
    <cacheField name="Ville" numFmtId="0">
      <sharedItems containsBlank="1" count="4">
        <s v="Lille"/>
        <s v="Lyon"/>
        <s v="Paris"/>
        <m/>
      </sharedItems>
    </cacheField>
    <cacheField name="Vendeur" numFmtId="0">
      <sharedItems containsBlank="1" count="5">
        <s v="Alice"/>
        <s v="Lina"/>
        <s v="Marc"/>
        <s v="Sami"/>
        <m/>
      </sharedItems>
    </cacheField>
    <cacheField name="Produit" numFmtId="0">
      <sharedItems containsBlank="1" count="4">
        <s v="Clavier"/>
        <s v="Ecran"/>
        <s v="Souris"/>
        <m/>
      </sharedItems>
    </cacheField>
    <cacheField name="Quantite" numFmtId="0">
      <sharedItems containsBlank="1" count="7">
        <s v="1"/>
        <s v="2"/>
        <s v="3"/>
        <s v="4"/>
        <s v="5"/>
        <s v="6"/>
        <m/>
      </sharedItems>
    </cacheField>
    <cacheField name="Prix_unitaire_EUR" numFmtId="0">
      <sharedItems containsBlank="1" count="4">
        <s v="15"/>
        <s v="180"/>
        <s v="25"/>
        <m/>
      </sharedItems>
    </cacheField>
    <cacheField name="CA" numFmtId="0">
      <sharedItems containsSemiMixedTypes="0" containsString="0" containsNumber="1" containsInteger="1" minValue="25" maxValue="2470" count="12">
        <n v="25"/>
        <n v="30"/>
        <n v="45"/>
        <n v="50"/>
        <n v="60"/>
        <n v="75"/>
        <n v="90"/>
        <n v="100"/>
        <n v="125"/>
        <n v="180"/>
        <n v="360"/>
        <n v="2470"/>
      </sharedItems>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
  <r>
    <x v="0"/>
    <x v="0"/>
    <x v="2"/>
    <x v="0"/>
    <x v="0"/>
    <x v="1"/>
    <x v="2"/>
    <x v="3"/>
  </r>
  <r>
    <x v="1"/>
    <x v="1"/>
    <x v="1"/>
    <x v="3"/>
    <x v="2"/>
    <x v="3"/>
    <x v="0"/>
    <x v="4"/>
  </r>
  <r>
    <x v="2"/>
    <x v="2"/>
    <x v="0"/>
    <x v="1"/>
    <x v="1"/>
    <x v="0"/>
    <x v="1"/>
    <x v="9"/>
  </r>
  <r>
    <x v="3"/>
    <x v="3"/>
    <x v="2"/>
    <x v="0"/>
    <x v="2"/>
    <x v="2"/>
    <x v="0"/>
    <x v="2"/>
  </r>
  <r>
    <x v="4"/>
    <x v="4"/>
    <x v="1"/>
    <x v="3"/>
    <x v="0"/>
    <x v="4"/>
    <x v="2"/>
    <x v="8"/>
  </r>
  <r>
    <x v="5"/>
    <x v="5"/>
    <x v="0"/>
    <x v="1"/>
    <x v="0"/>
    <x v="1"/>
    <x v="2"/>
    <x v="3"/>
  </r>
  <r>
    <x v="6"/>
    <x v="6"/>
    <x v="2"/>
    <x v="2"/>
    <x v="1"/>
    <x v="1"/>
    <x v="1"/>
    <x v="10"/>
  </r>
  <r>
    <x v="7"/>
    <x v="7"/>
    <x v="1"/>
    <x v="0"/>
    <x v="2"/>
    <x v="5"/>
    <x v="0"/>
    <x v="6"/>
  </r>
  <r>
    <x v="8"/>
    <x v="8"/>
    <x v="2"/>
    <x v="3"/>
    <x v="0"/>
    <x v="2"/>
    <x v="2"/>
    <x v="5"/>
  </r>
  <r>
    <x v="9"/>
    <x v="9"/>
    <x v="0"/>
    <x v="2"/>
    <x v="2"/>
    <x v="3"/>
    <x v="0"/>
    <x v="4"/>
  </r>
  <r>
    <x v="10"/>
    <x v="10"/>
    <x v="1"/>
    <x v="1"/>
    <x v="1"/>
    <x v="1"/>
    <x v="1"/>
    <x v="10"/>
  </r>
  <r>
    <x v="11"/>
    <x v="11"/>
    <x v="2"/>
    <x v="0"/>
    <x v="0"/>
    <x v="0"/>
    <x v="2"/>
    <x v="0"/>
  </r>
  <r>
    <x v="12"/>
    <x v="12"/>
    <x v="2"/>
    <x v="2"/>
    <x v="2"/>
    <x v="4"/>
    <x v="0"/>
    <x v="5"/>
  </r>
  <r>
    <x v="13"/>
    <x v="13"/>
    <x v="0"/>
    <x v="3"/>
    <x v="1"/>
    <x v="0"/>
    <x v="1"/>
    <x v="9"/>
  </r>
  <r>
    <x v="14"/>
    <x v="14"/>
    <x v="1"/>
    <x v="0"/>
    <x v="0"/>
    <x v="3"/>
    <x v="2"/>
    <x v="7"/>
  </r>
  <r>
    <x v="15"/>
    <x v="15"/>
    <x v="2"/>
    <x v="1"/>
    <x v="1"/>
    <x v="0"/>
    <x v="1"/>
    <x v="9"/>
  </r>
  <r>
    <x v="16"/>
    <x v="16"/>
    <x v="0"/>
    <x v="2"/>
    <x v="0"/>
    <x v="2"/>
    <x v="2"/>
    <x v="5"/>
  </r>
  <r>
    <x v="17"/>
    <x v="17"/>
    <x v="1"/>
    <x v="3"/>
    <x v="2"/>
    <x v="1"/>
    <x v="0"/>
    <x v="1"/>
  </r>
  <r>
    <x v="18"/>
    <x v="18"/>
    <x v="2"/>
    <x v="0"/>
    <x v="1"/>
    <x v="0"/>
    <x v="1"/>
    <x v="9"/>
  </r>
  <r>
    <x v="19"/>
    <x v="19"/>
    <x v="0"/>
    <x v="1"/>
    <x v="2"/>
    <x v="2"/>
    <x v="0"/>
    <x v="2"/>
  </r>
  <r>
    <x v="20"/>
    <x v="20"/>
    <x v="1"/>
    <x v="2"/>
    <x v="0"/>
    <x v="1"/>
    <x v="2"/>
    <x v="3"/>
  </r>
  <r>
    <x v="21"/>
    <x v="21"/>
    <x v="0"/>
    <x v="0"/>
    <x v="2"/>
    <x v="4"/>
    <x v="0"/>
    <x v="5"/>
  </r>
  <r>
    <x v="22"/>
    <x v="22"/>
    <x v="3"/>
    <x v="4"/>
    <x v="3"/>
    <x v="6"/>
    <x v="3"/>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Tableau croisé dynamique5" cacheId="58" applyNumberFormats="0" applyBorderFormats="0" applyFontFormats="0" applyPatternFormats="0" applyAlignmentFormats="0" applyWidthHeightFormats="0" dataCaption="Values" itemPrintTitles="1" indent="0" compact="0" compactData="0" chartFormat="1">
  <location ref="E40:F45" firstHeaderRow="1" firstDataRow="1" firstDataCol="1"/>
  <pivotFields count="8">
    <pivotField compact="0" outline="0" showAll="0"/>
    <pivotField compact="0" outline="0" showAll="0"/>
    <pivotField compact="0" outline="0" showAll="0"/>
    <pivotField axis="axisRow" compact="0" outline="0" showAll="0">
      <items count="6">
        <item x="0"/>
        <item x="1"/>
        <item x="2"/>
        <item x="3"/>
        <item h="1" x="4"/>
        <item t="default"/>
      </items>
    </pivotField>
    <pivotField compact="0" outline="0" showAll="0"/>
    <pivotField compact="0" outline="0" showAll="0"/>
    <pivotField compact="0" outline="0" showAll="0"/>
    <pivotField dataField="1" compact="0" outline="0" showAll="0"/>
  </pivotFields>
  <rowFields count="1">
    <field x="3"/>
  </rowFields>
  <rowItems count="5">
    <i>
      <x/>
    </i>
    <i>
      <x v="1"/>
    </i>
    <i>
      <x v="2"/>
    </i>
    <i>
      <x v="3"/>
    </i>
    <i t="grand">
      <x/>
    </i>
  </rowItems>
  <colItems count="1">
    <i/>
  </colItems>
  <dataFields count="1">
    <dataField name="Somme de CA" fld="7" baseField="0" baseItem="0"/>
  </dataFields>
  <formats count="41">
    <format dxfId="123">
      <pivotArea type="all" dataOnly="0" outline="0" fieldPosition="0"/>
    </format>
    <format dxfId="124">
      <pivotArea outline="0" fieldPosition="0"/>
    </format>
    <format dxfId="125">
      <pivotArea field="3" type="button" dataOnly="0" labelOnly="1" outline="0" axis="axisRow" fieldPosition="0"/>
    </format>
    <format dxfId="126">
      <pivotArea dataOnly="0" labelOnly="1" outline="0" axis="axisValues" fieldPosition="0"/>
    </format>
    <format dxfId="127">
      <pivotArea dataOnly="0" labelOnly="1" outline="0" fieldPosition="0">
        <references count="1">
          <reference field="3" count="0"/>
        </references>
      </pivotArea>
    </format>
    <format dxfId="128">
      <pivotArea dataOnly="0" labelOnly="1" grandRow="1" outline="0" fieldPosition="0"/>
    </format>
    <format dxfId="129">
      <pivotArea dataOnly="0" labelOnly="1" outline="0" axis="axisValues" fieldPosition="0"/>
    </format>
    <format dxfId="130">
      <pivotArea type="all" dataOnly="0" outline="0" fieldPosition="0"/>
    </format>
    <format dxfId="131">
      <pivotArea outline="0" fieldPosition="0"/>
    </format>
    <format dxfId="132">
      <pivotArea field="3" type="button" dataOnly="0" labelOnly="1" outline="0" axis="axisRow" fieldPosition="0"/>
    </format>
    <format dxfId="133">
      <pivotArea dataOnly="0" labelOnly="1" outline="0" axis="axisValues" fieldPosition="0"/>
    </format>
    <format dxfId="134">
      <pivotArea dataOnly="0" labelOnly="1" outline="0" fieldPosition="0">
        <references count="1">
          <reference field="3" count="0"/>
        </references>
      </pivotArea>
    </format>
    <format dxfId="135">
      <pivotArea dataOnly="0" labelOnly="1" grandRow="1" outline="0" fieldPosition="0"/>
    </format>
    <format dxfId="136">
      <pivotArea dataOnly="0" labelOnly="1" outline="0" axis="axisValues" fieldPosition="0"/>
    </format>
    <format dxfId="137">
      <pivotArea type="all" dataOnly="0" outline="0" fieldPosition="0"/>
    </format>
    <format dxfId="138">
      <pivotArea outline="0" fieldPosition="0"/>
    </format>
    <format dxfId="139">
      <pivotArea field="3" type="button" dataOnly="0" labelOnly="1" outline="0" axis="axisRow" fieldPosition="0"/>
    </format>
    <format dxfId="140">
      <pivotArea dataOnly="0" labelOnly="1" outline="0" axis="axisValues" fieldPosition="0"/>
    </format>
    <format dxfId="141">
      <pivotArea dataOnly="0" labelOnly="1" outline="0" fieldPosition="0">
        <references count="1">
          <reference field="3" count="0"/>
        </references>
      </pivotArea>
    </format>
    <format dxfId="142">
      <pivotArea dataOnly="0" labelOnly="1" grandRow="1" outline="0" fieldPosition="0"/>
    </format>
    <format dxfId="143">
      <pivotArea dataOnly="0" labelOnly="1" outline="0" axis="axisValues" fieldPosition="0"/>
    </format>
    <format dxfId="144">
      <pivotArea type="all" dataOnly="0" outline="0" fieldPosition="0"/>
    </format>
    <format dxfId="145">
      <pivotArea outline="0" fieldPosition="0"/>
    </format>
    <format dxfId="146">
      <pivotArea field="3" type="button" dataOnly="0" labelOnly="1" outline="0" axis="axisRow" fieldPosition="0"/>
    </format>
    <format dxfId="147">
      <pivotArea dataOnly="0" labelOnly="1" outline="0" axis="axisValues" fieldPosition="0"/>
    </format>
    <format dxfId="148">
      <pivotArea dataOnly="0" labelOnly="1" outline="0" fieldPosition="0">
        <references count="1">
          <reference field="3" count="0"/>
        </references>
      </pivotArea>
    </format>
    <format dxfId="149">
      <pivotArea dataOnly="0" labelOnly="1" grandRow="1" outline="0" fieldPosition="0"/>
    </format>
    <format dxfId="150">
      <pivotArea dataOnly="0" labelOnly="1" outline="0" axis="axisValues" fieldPosition="0"/>
    </format>
    <format dxfId="151">
      <pivotArea type="all" dataOnly="0" outline="0" fieldPosition="0"/>
    </format>
    <format dxfId="152">
      <pivotArea outline="0" fieldPosition="0"/>
    </format>
    <format dxfId="153">
      <pivotArea field="3" type="button" dataOnly="0" labelOnly="1" outline="0" axis="axisRow" fieldPosition="0"/>
    </format>
    <format dxfId="154">
      <pivotArea dataOnly="0" labelOnly="1" outline="0" axis="axisValues" fieldPosition="0"/>
    </format>
    <format dxfId="155">
      <pivotArea dataOnly="0" labelOnly="1" outline="0" fieldPosition="0">
        <references count="1">
          <reference field="3" count="0"/>
        </references>
      </pivotArea>
    </format>
    <format dxfId="156">
      <pivotArea dataOnly="0" labelOnly="1" grandRow="1" outline="0" fieldPosition="0"/>
    </format>
    <format dxfId="157">
      <pivotArea dataOnly="0" labelOnly="1" outline="0" axis="axisValues" fieldPosition="0"/>
    </format>
    <format dxfId="158">
      <pivotArea type="all" dataOnly="0" outline="0" fieldPosition="0"/>
    </format>
    <format dxfId="159">
      <pivotArea outline="0" fieldPosition="0"/>
    </format>
    <format dxfId="160">
      <pivotArea field="3" type="button" dataOnly="0" labelOnly="1" outline="0" axis="axisRow" fieldPosition="0"/>
    </format>
    <format dxfId="161">
      <pivotArea dataOnly="0" labelOnly="1" outline="0" fieldPosition="0">
        <references count="1">
          <reference field="3" count="0"/>
        </references>
      </pivotArea>
    </format>
    <format dxfId="162">
      <pivotArea dataOnly="0" labelOnly="1" grandRow="1" outline="0" fieldPosition="0"/>
    </format>
    <format dxfId="163">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s>
  <pivotTableStyleInfo name="PivotStyleMedium5"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Tableau croisé dynamique2" cacheId="58" applyNumberFormats="0" applyBorderFormats="0" applyFontFormats="0" applyPatternFormats="0" applyAlignmentFormats="0" applyWidthHeightFormats="0" dataCaption="Values" itemPrintTitles="1" indent="0" compact="0" compactData="0">
  <location ref="E26:F30" firstHeaderRow="1" firstDataRow="1" firstDataCol="1"/>
  <pivotFields count="8">
    <pivotField compact="0" outline="0" showAll="0"/>
    <pivotField compact="0" outline="0" showAll="0"/>
    <pivotField axis="axisRow" compact="0" outline="0" showAll="0">
      <items count="5">
        <item h="1" x="3"/>
        <item x="2"/>
        <item x="1"/>
        <item x="0"/>
        <item t="default"/>
      </items>
    </pivotField>
    <pivotField compact="0" outline="0" showAll="0"/>
    <pivotField compact="0" outline="0" showAll="0"/>
    <pivotField compact="0" outline="0" showAll="0"/>
    <pivotField compact="0" outline="0" showAll="0"/>
    <pivotField dataField="1" compact="0" outline="0" showAll="0"/>
  </pivotFields>
  <rowFields count="1">
    <field x="2"/>
  </rowFields>
  <rowItems count="4">
    <i>
      <x v="1"/>
    </i>
    <i>
      <x v="2"/>
    </i>
    <i>
      <x v="3"/>
    </i>
    <i t="grand">
      <x/>
    </i>
  </rowItems>
  <colItems count="1">
    <i/>
  </colItems>
  <dataFields count="1">
    <dataField name="Somme de CA" fld="7" baseField="0" baseItem="0"/>
  </dataFields>
  <formats count="41">
    <format dxfId="82">
      <pivotArea type="all" dataOnly="0" outline="0" fieldPosition="0"/>
    </format>
    <format dxfId="83">
      <pivotArea outline="0" fieldPosition="0"/>
    </format>
    <format dxfId="84">
      <pivotArea field="2" type="button" dataOnly="0" labelOnly="1" outline="0" axis="axisRow" fieldPosition="0"/>
    </format>
    <format dxfId="85">
      <pivotArea dataOnly="0" labelOnly="1" outline="0" axis="axisValues" fieldPosition="0"/>
    </format>
    <format dxfId="86">
      <pivotArea dataOnly="0" labelOnly="1" outline="0" fieldPosition="0">
        <references count="1">
          <reference field="2" count="0"/>
        </references>
      </pivotArea>
    </format>
    <format dxfId="87">
      <pivotArea dataOnly="0" labelOnly="1" grandRow="1" outline="0" fieldPosition="0"/>
    </format>
    <format dxfId="88">
      <pivotArea dataOnly="0" labelOnly="1" outline="0" axis="axisValues" fieldPosition="0"/>
    </format>
    <format dxfId="89">
      <pivotArea type="all" dataOnly="0" outline="0" fieldPosition="0"/>
    </format>
    <format dxfId="90">
      <pivotArea outline="0" fieldPosition="0"/>
    </format>
    <format dxfId="91">
      <pivotArea field="2" type="button" dataOnly="0" labelOnly="1" outline="0" axis="axisRow" fieldPosition="0"/>
    </format>
    <format dxfId="92">
      <pivotArea dataOnly="0" labelOnly="1" outline="0" axis="axisValues" fieldPosition="0"/>
    </format>
    <format dxfId="93">
      <pivotArea dataOnly="0" labelOnly="1" outline="0" fieldPosition="0">
        <references count="1">
          <reference field="2" count="0"/>
        </references>
      </pivotArea>
    </format>
    <format dxfId="94">
      <pivotArea dataOnly="0" labelOnly="1" grandRow="1" outline="0" fieldPosition="0"/>
    </format>
    <format dxfId="95">
      <pivotArea dataOnly="0" labelOnly="1" outline="0" axis="axisValues" fieldPosition="0"/>
    </format>
    <format dxfId="96">
      <pivotArea type="all" dataOnly="0" outline="0" fieldPosition="0"/>
    </format>
    <format dxfId="97">
      <pivotArea outline="0" fieldPosition="0"/>
    </format>
    <format dxfId="98">
      <pivotArea field="2" type="button" dataOnly="0" labelOnly="1" outline="0" axis="axisRow" fieldPosition="0"/>
    </format>
    <format dxfId="99">
      <pivotArea dataOnly="0" labelOnly="1" outline="0" axis="axisValues" fieldPosition="0"/>
    </format>
    <format dxfId="100">
      <pivotArea dataOnly="0" labelOnly="1" outline="0" fieldPosition="0">
        <references count="1">
          <reference field="2" count="0"/>
        </references>
      </pivotArea>
    </format>
    <format dxfId="101">
      <pivotArea dataOnly="0" labelOnly="1" grandRow="1" outline="0" fieldPosition="0"/>
    </format>
    <format dxfId="102">
      <pivotArea dataOnly="0" labelOnly="1" outline="0" axis="axisValues" fieldPosition="0"/>
    </format>
    <format dxfId="103">
      <pivotArea type="all" dataOnly="0" outline="0" fieldPosition="0"/>
    </format>
    <format dxfId="104">
      <pivotArea outline="0" fieldPosition="0"/>
    </format>
    <format dxfId="105">
      <pivotArea field="2" type="button" dataOnly="0" labelOnly="1" outline="0" axis="axisRow" fieldPosition="0"/>
    </format>
    <format dxfId="106">
      <pivotArea dataOnly="0" labelOnly="1" outline="0" axis="axisValues" fieldPosition="0"/>
    </format>
    <format dxfId="107">
      <pivotArea dataOnly="0" labelOnly="1" outline="0" fieldPosition="0">
        <references count="1">
          <reference field="2" count="0"/>
        </references>
      </pivotArea>
    </format>
    <format dxfId="108">
      <pivotArea dataOnly="0" labelOnly="1" grandRow="1" outline="0" fieldPosition="0"/>
    </format>
    <format dxfId="109">
      <pivotArea dataOnly="0" labelOnly="1" outline="0" axis="axisValues" fieldPosition="0"/>
    </format>
    <format dxfId="110">
      <pivotArea type="all" dataOnly="0" outline="0" fieldPosition="0"/>
    </format>
    <format dxfId="111">
      <pivotArea outline="0" fieldPosition="0"/>
    </format>
    <format dxfId="112">
      <pivotArea field="2" type="button" dataOnly="0" labelOnly="1" outline="0" axis="axisRow" fieldPosition="0"/>
    </format>
    <format dxfId="113">
      <pivotArea dataOnly="0" labelOnly="1" outline="0" axis="axisValues" fieldPosition="0"/>
    </format>
    <format dxfId="114">
      <pivotArea dataOnly="0" labelOnly="1" outline="0" fieldPosition="0">
        <references count="1">
          <reference field="2" count="0"/>
        </references>
      </pivotArea>
    </format>
    <format dxfId="115">
      <pivotArea dataOnly="0" labelOnly="1" grandRow="1" outline="0" fieldPosition="0"/>
    </format>
    <format dxfId="116">
      <pivotArea dataOnly="0" labelOnly="1" outline="0" axis="axisValues" fieldPosition="0"/>
    </format>
    <format dxfId="117">
      <pivotArea type="all" dataOnly="0" outline="0" fieldPosition="0"/>
    </format>
    <format dxfId="118">
      <pivotArea outline="0" fieldPosition="0"/>
    </format>
    <format dxfId="119">
      <pivotArea field="2" type="button" dataOnly="0" labelOnly="1" outline="0" axis="axisRow" fieldPosition="0"/>
    </format>
    <format dxfId="120">
      <pivotArea dataOnly="0" labelOnly="1" outline="0" fieldPosition="0">
        <references count="1">
          <reference field="2" count="0"/>
        </references>
      </pivotArea>
    </format>
    <format dxfId="121">
      <pivotArea dataOnly="0" labelOnly="1" grandRow="1" outline="0" fieldPosition="0"/>
    </format>
    <format dxfId="122">
      <pivotArea dataOnly="0" labelOnly="1" outline="0" axis="axisValues" fieldPosition="0"/>
    </format>
  </formats>
  <pivotTableStyleInfo name="PivotStyleMedium5"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Tableau croisé dynamique1" cacheId="58" applyNumberFormats="0" applyBorderFormats="0" applyFontFormats="0" applyPatternFormats="0" applyAlignmentFormats="0" applyWidthHeightFormats="0" dataCaption="Values" itemPrintTitles="1" indent="0" compact="0" compactData="0">
  <location ref="E13:F17" firstHeaderRow="1" firstDataRow="1" firstDataCol="1"/>
  <pivotFields count="8">
    <pivotField compact="0" outline="0" showAll="0"/>
    <pivotField compact="0" outline="0" showAll="0"/>
    <pivotField compact="0" outline="0" showAll="0"/>
    <pivotField compact="0" outline="0" showAll="0"/>
    <pivotField axis="axisRow" compact="0" outline="0" showAll="0">
      <items count="5">
        <item x="0"/>
        <item x="1"/>
        <item x="2"/>
        <item h="1" x="3"/>
        <item t="default"/>
      </items>
    </pivotField>
    <pivotField compact="0" outline="0" showAll="0"/>
    <pivotField compact="0" outline="0" showAll="0"/>
    <pivotField dataField="1" compact="0" outline="0" showAll="0"/>
  </pivotFields>
  <rowFields count="1">
    <field x="4"/>
  </rowFields>
  <rowItems count="4">
    <i>
      <x v="1"/>
    </i>
    <i>
      <x/>
    </i>
    <i>
      <x v="2"/>
    </i>
    <i t="grand">
      <x/>
    </i>
  </rowItems>
  <colItems count="1">
    <i/>
  </colItems>
  <dataFields count="1">
    <dataField name="Somme de CA" fld="7" baseField="0" baseItem="0"/>
  </dataFields>
  <formats count="41">
    <format dxfId="41">
      <pivotArea type="all" dataOnly="0" outline="0" fieldPosition="0"/>
    </format>
    <format dxfId="42">
      <pivotArea outline="0" fieldPosition="0"/>
    </format>
    <format dxfId="43">
      <pivotArea field="4" type="button" dataOnly="0" labelOnly="1" outline="0" axis="axisRow" fieldPosition="0"/>
    </format>
    <format dxfId="44">
      <pivotArea dataOnly="0" labelOnly="1" outline="0" axis="axisValues" fieldPosition="0"/>
    </format>
    <format dxfId="45">
      <pivotArea dataOnly="0" labelOnly="1" outline="0" fieldPosition="0">
        <references count="1">
          <reference field="4" count="0"/>
        </references>
      </pivotArea>
    </format>
    <format dxfId="46">
      <pivotArea dataOnly="0" labelOnly="1" grandRow="1" outline="0" fieldPosition="0"/>
    </format>
    <format dxfId="47">
      <pivotArea dataOnly="0" labelOnly="1" outline="0" axis="axisValues" fieldPosition="0"/>
    </format>
    <format dxfId="48">
      <pivotArea type="all" dataOnly="0" outline="0" fieldPosition="0"/>
    </format>
    <format dxfId="49">
      <pivotArea outline="0" fieldPosition="0"/>
    </format>
    <format dxfId="50">
      <pivotArea field="4" type="button" dataOnly="0" labelOnly="1" outline="0" axis="axisRow" fieldPosition="0"/>
    </format>
    <format dxfId="51">
      <pivotArea dataOnly="0" labelOnly="1" outline="0" axis="axisValues" fieldPosition="0"/>
    </format>
    <format dxfId="52">
      <pivotArea dataOnly="0" labelOnly="1" outline="0" fieldPosition="0">
        <references count="1">
          <reference field="4" count="0"/>
        </references>
      </pivotArea>
    </format>
    <format dxfId="53">
      <pivotArea dataOnly="0" labelOnly="1" grandRow="1" outline="0" fieldPosition="0"/>
    </format>
    <format dxfId="54">
      <pivotArea dataOnly="0" labelOnly="1" outline="0" axis="axisValues" fieldPosition="0"/>
    </format>
    <format dxfId="55">
      <pivotArea type="all" dataOnly="0" outline="0" fieldPosition="0"/>
    </format>
    <format dxfId="56">
      <pivotArea outline="0" fieldPosition="0"/>
    </format>
    <format dxfId="57">
      <pivotArea field="4" type="button" dataOnly="0" labelOnly="1" outline="0" axis="axisRow" fieldPosition="0"/>
    </format>
    <format dxfId="58">
      <pivotArea dataOnly="0" labelOnly="1" outline="0" axis="axisValues" fieldPosition="0"/>
    </format>
    <format dxfId="59">
      <pivotArea dataOnly="0" labelOnly="1" outline="0" fieldPosition="0">
        <references count="1">
          <reference field="4" count="0"/>
        </references>
      </pivotArea>
    </format>
    <format dxfId="60">
      <pivotArea dataOnly="0" labelOnly="1" grandRow="1" outline="0" fieldPosition="0"/>
    </format>
    <format dxfId="61">
      <pivotArea dataOnly="0" labelOnly="1" outline="0" axis="axisValues" fieldPosition="0"/>
    </format>
    <format dxfId="62">
      <pivotArea type="all" dataOnly="0" outline="0" fieldPosition="0"/>
    </format>
    <format dxfId="63">
      <pivotArea outline="0" fieldPosition="0"/>
    </format>
    <format dxfId="64">
      <pivotArea field="4" type="button" dataOnly="0" labelOnly="1" outline="0" axis="axisRow" fieldPosition="0"/>
    </format>
    <format dxfId="65">
      <pivotArea dataOnly="0" labelOnly="1" outline="0" axis="axisValues" fieldPosition="0"/>
    </format>
    <format dxfId="66">
      <pivotArea dataOnly="0" labelOnly="1" outline="0" fieldPosition="0">
        <references count="1">
          <reference field="4" count="0"/>
        </references>
      </pivotArea>
    </format>
    <format dxfId="67">
      <pivotArea dataOnly="0" labelOnly="1" grandRow="1" outline="0" fieldPosition="0"/>
    </format>
    <format dxfId="68">
      <pivotArea dataOnly="0" labelOnly="1" outline="0" axis="axisValues" fieldPosition="0"/>
    </format>
    <format dxfId="69">
      <pivotArea type="all" dataOnly="0" outline="0" fieldPosition="0"/>
    </format>
    <format dxfId="70">
      <pivotArea outline="0" fieldPosition="0"/>
    </format>
    <format dxfId="71">
      <pivotArea field="4" type="button" dataOnly="0" labelOnly="1" outline="0" axis="axisRow" fieldPosition="0"/>
    </format>
    <format dxfId="72">
      <pivotArea dataOnly="0" labelOnly="1" outline="0" axis="axisValues" fieldPosition="0"/>
    </format>
    <format dxfId="73">
      <pivotArea dataOnly="0" labelOnly="1" outline="0" fieldPosition="0">
        <references count="1">
          <reference field="4" count="0"/>
        </references>
      </pivotArea>
    </format>
    <format dxfId="74">
      <pivotArea dataOnly="0" labelOnly="1" grandRow="1" outline="0" fieldPosition="0"/>
    </format>
    <format dxfId="75">
      <pivotArea dataOnly="0" labelOnly="1" outline="0" axis="axisValues" fieldPosition="0"/>
    </format>
    <format dxfId="76">
      <pivotArea type="all" dataOnly="0" outline="0" fieldPosition="0"/>
    </format>
    <format dxfId="77">
      <pivotArea outline="0" fieldPosition="0"/>
    </format>
    <format dxfId="78">
      <pivotArea field="4" type="button" dataOnly="0" labelOnly="1" outline="0" axis="axisRow" fieldPosition="0"/>
    </format>
    <format dxfId="79">
      <pivotArea dataOnly="0" labelOnly="1" outline="0" fieldPosition="0">
        <references count="1">
          <reference field="4" count="0"/>
        </references>
      </pivotArea>
    </format>
    <format dxfId="80">
      <pivotArea dataOnly="0" labelOnly="1" grandRow="1" outline="0" fieldPosition="0"/>
    </format>
    <format dxfId="81">
      <pivotArea dataOnly="0" labelOnly="1" outline="0" axis="axisValues" fieldPosition="0"/>
    </format>
  </formats>
  <pivotTableStyleInfo name="PivotStyleMedium5"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Tableau croisé dynamique3" cacheId="58" applyNumberFormats="0" applyBorderFormats="0" applyFontFormats="0" applyPatternFormats="0" applyAlignmentFormats="0" applyWidthHeightFormats="0" dataCaption="Values" updatedVersion="8" itemPrintTitles="1" indent="0" compact="0" compactData="0" chartFormat="2">
  <location ref="E54:F77" firstHeaderRow="1" firstDataRow="1" firstDataCol="1"/>
  <pivotFields count="8">
    <pivotField compact="0" outline="0" showAll="0"/>
    <pivotField axis="axisRow" compact="0" outline="0" showAll="0">
      <items count="24">
        <item x="0"/>
        <item x="1"/>
        <item x="2"/>
        <item x="3"/>
        <item x="4"/>
        <item x="5"/>
        <item x="6"/>
        <item x="7"/>
        <item x="8"/>
        <item x="9"/>
        <item x="10"/>
        <item x="11"/>
        <item x="12"/>
        <item x="13"/>
        <item x="14"/>
        <item x="15"/>
        <item x="16"/>
        <item x="17"/>
        <item x="18"/>
        <item x="19"/>
        <item x="20"/>
        <item x="21"/>
        <item h="1" x="22"/>
        <item t="default"/>
      </items>
    </pivotField>
    <pivotField compact="0" outline="0" showAll="0"/>
    <pivotField compact="0" outline="0" showAll="0"/>
    <pivotField compact="0" outline="0" showAll="0">
      <items count="5">
        <item x="0"/>
        <item x="1"/>
        <item x="2"/>
        <item h="1" x="3"/>
        <item t="default"/>
      </items>
    </pivotField>
    <pivotField compact="0" outline="0" showAll="0"/>
    <pivotField compact="0" outline="0" showAll="0"/>
    <pivotField dataField="1" compact="0" outline="0" showAll="0">
      <items count="13">
        <item x="0"/>
        <item x="1"/>
        <item x="2"/>
        <item x="3"/>
        <item x="4"/>
        <item x="5"/>
        <item x="6"/>
        <item x="7"/>
        <item x="8"/>
        <item x="9"/>
        <item x="10"/>
        <item x="11"/>
        <item t="default"/>
      </items>
    </pivotField>
  </pivotFields>
  <rowFields count="1">
    <field x="1"/>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Somme de CA" fld="7" baseField="0" baseItem="0"/>
  </dataFields>
  <formats count="41">
    <format dxfId="0">
      <pivotArea type="all" dataOnly="0" outline="0" fieldPosition="0"/>
    </format>
    <format dxfId="1">
      <pivotArea outline="0" fieldPosition="0"/>
    </format>
    <format dxfId="2">
      <pivotArea field="1" type="button" dataOnly="0" labelOnly="1" outline="0" axis="axisRow" fieldPosition="0"/>
    </format>
    <format dxfId="3">
      <pivotArea dataOnly="0" labelOnly="1" outline="0" axis="axisValues" fieldPosition="0"/>
    </format>
    <format dxfId="4">
      <pivotArea dataOnly="0" labelOnly="1" outline="0" fieldPosition="0">
        <references count="1">
          <reference field="1" count="0"/>
        </references>
      </pivotArea>
    </format>
    <format dxfId="5">
      <pivotArea dataOnly="0" labelOnly="1" grandRow="1" outline="0" fieldPosition="0"/>
    </format>
    <format dxfId="6">
      <pivotArea dataOnly="0" labelOnly="1" outline="0" axis="axisValues" fieldPosition="0"/>
    </format>
    <format dxfId="7">
      <pivotArea type="all" dataOnly="0" outline="0" fieldPosition="0"/>
    </format>
    <format dxfId="8">
      <pivotArea outline="0" fieldPosition="0"/>
    </format>
    <format dxfId="9">
      <pivotArea field="1" type="button" dataOnly="0" labelOnly="1" outline="0" axis="axisRow" fieldPosition="0"/>
    </format>
    <format dxfId="10">
      <pivotArea dataOnly="0" labelOnly="1" outline="0" axis="axisValues" fieldPosition="0"/>
    </format>
    <format dxfId="11">
      <pivotArea dataOnly="0" labelOnly="1" outline="0" fieldPosition="0">
        <references count="1">
          <reference field="1" count="0"/>
        </references>
      </pivotArea>
    </format>
    <format dxfId="12">
      <pivotArea dataOnly="0" labelOnly="1" grandRow="1" outline="0" fieldPosition="0"/>
    </format>
    <format dxfId="13">
      <pivotArea dataOnly="0" labelOnly="1" outline="0" axis="axisValues" fieldPosition="0"/>
    </format>
    <format dxfId="14">
      <pivotArea type="all" dataOnly="0" outline="0" fieldPosition="0"/>
    </format>
    <format dxfId="15">
      <pivotArea outline="0" fieldPosition="0"/>
    </format>
    <format dxfId="16">
      <pivotArea field="1" type="button" dataOnly="0" labelOnly="1" outline="0" axis="axisRow" fieldPosition="0"/>
    </format>
    <format dxfId="17">
      <pivotArea dataOnly="0" labelOnly="1" outline="0" axis="axisValues" fieldPosition="0"/>
    </format>
    <format dxfId="18">
      <pivotArea dataOnly="0" labelOnly="1" outline="0" fieldPosition="0">
        <references count="1">
          <reference field="1" count="0"/>
        </references>
      </pivotArea>
    </format>
    <format dxfId="19">
      <pivotArea dataOnly="0" labelOnly="1" grandRow="1" outline="0" fieldPosition="0"/>
    </format>
    <format dxfId="20">
      <pivotArea dataOnly="0" labelOnly="1" outline="0" axis="axisValues" fieldPosition="0"/>
    </format>
    <format dxfId="21">
      <pivotArea type="all" dataOnly="0" outline="0" fieldPosition="0"/>
    </format>
    <format dxfId="22">
      <pivotArea outline="0" fieldPosition="0"/>
    </format>
    <format dxfId="23">
      <pivotArea field="1" type="button" dataOnly="0" labelOnly="1" outline="0" axis="axisRow" fieldPosition="0"/>
    </format>
    <format dxfId="24">
      <pivotArea dataOnly="0" labelOnly="1" outline="0" axis="axisValues" fieldPosition="0"/>
    </format>
    <format dxfId="25">
      <pivotArea dataOnly="0" labelOnly="1" outline="0" fieldPosition="0">
        <references count="1">
          <reference field="1" count="0"/>
        </references>
      </pivotArea>
    </format>
    <format dxfId="26">
      <pivotArea dataOnly="0" labelOnly="1" grandRow="1" outline="0" fieldPosition="0"/>
    </format>
    <format dxfId="27">
      <pivotArea dataOnly="0" labelOnly="1" outline="0" axis="axisValues" fieldPosition="0"/>
    </format>
    <format dxfId="28">
      <pivotArea type="all" dataOnly="0" outline="0" fieldPosition="0"/>
    </format>
    <format dxfId="29">
      <pivotArea outline="0" fieldPosition="0"/>
    </format>
    <format dxfId="30">
      <pivotArea field="1" type="button" dataOnly="0" labelOnly="1" outline="0" axis="axisRow" fieldPosition="0"/>
    </format>
    <format dxfId="31">
      <pivotArea dataOnly="0" labelOnly="1" outline="0" axis="axisValues" fieldPosition="0"/>
    </format>
    <format dxfId="32">
      <pivotArea dataOnly="0" labelOnly="1" outline="0" fieldPosition="0">
        <references count="1">
          <reference field="1" count="0"/>
        </references>
      </pivotArea>
    </format>
    <format dxfId="33">
      <pivotArea dataOnly="0" labelOnly="1" grandRow="1" outline="0" fieldPosition="0"/>
    </format>
    <format dxfId="34">
      <pivotArea dataOnly="0" labelOnly="1" outline="0" axis="axisValues" fieldPosition="0"/>
    </format>
    <format dxfId="35">
      <pivotArea type="all" dataOnly="0" outline="0" fieldPosition="0"/>
    </format>
    <format dxfId="36">
      <pivotArea outline="0" fieldPosition="0"/>
    </format>
    <format dxfId="37">
      <pivotArea field="1" type="button" dataOnly="0" labelOnly="1" outline="0" axis="axisRow" fieldPosition="0"/>
    </format>
    <format dxfId="38">
      <pivotArea dataOnly="0" labelOnly="1" outline="0" fieldPosition="0">
        <references count="1">
          <reference field="1" count="0"/>
        </references>
      </pivotArea>
    </format>
    <format dxfId="39">
      <pivotArea dataOnly="0" labelOnly="1" grandRow="1" outline="0" fieldPosition="0"/>
    </format>
    <format dxfId="40">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Medium5"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84"/>
  <sheetViews>
    <sheetView showGridLines="0" tabSelected="1" zoomScaleNormal="100" workbookViewId="0">
      <selection activeCell="B17" sqref="B17"/>
    </sheetView>
  </sheetViews>
  <sheetFormatPr defaultColWidth="8.5703125" defaultRowHeight="15"/>
  <cols>
    <col min="1" max="1" width="12.42578125" customWidth="1"/>
    <col min="2" max="2" width="13.28515625" customWidth="1"/>
    <col min="3" max="3" width="7.140625" customWidth="1"/>
    <col min="4" max="4" width="6.5703125" customWidth="1"/>
    <col min="5" max="5" width="11.85546875" customWidth="1"/>
    <col min="6" max="6" width="8.42578125" customWidth="1"/>
    <col min="7" max="7" width="11.140625" customWidth="1"/>
    <col min="8" max="8" width="11.85546875" customWidth="1"/>
    <col min="9" max="10" width="4.42578125" customWidth="1"/>
    <col min="11" max="11" width="8" customWidth="1"/>
    <col min="12" max="12" width="11.7109375" customWidth="1"/>
    <col min="13" max="13" width="8.42578125" customWidth="1"/>
    <col min="14" max="14" width="3.28515625" customWidth="1"/>
    <col min="15" max="16" width="4.42578125" customWidth="1"/>
    <col min="17" max="17" width="3.28515625" customWidth="1"/>
    <col min="18" max="18" width="8" customWidth="1"/>
    <col min="19" max="19" width="11.140625" customWidth="1"/>
    <col min="20" max="20" width="11.85546875" customWidth="1"/>
    <col min="21" max="23" width="11.140625" customWidth="1"/>
    <col min="24" max="24" width="6" customWidth="1"/>
    <col min="25" max="25" width="11.85546875" customWidth="1"/>
    <col min="26" max="26" width="3.28515625" customWidth="1"/>
    <col min="27" max="27" width="11.5703125" customWidth="1"/>
    <col min="28" max="28" width="8.140625" customWidth="1"/>
    <col min="29" max="29" width="11" customWidth="1"/>
    <col min="30" max="30" width="9.28515625" customWidth="1"/>
    <col min="31" max="31" width="3.28515625" customWidth="1"/>
    <col min="32" max="32" width="12.28515625" customWidth="1"/>
    <col min="33" max="33" width="9.7109375" customWidth="1"/>
    <col min="34" max="34" width="12.42578125" customWidth="1"/>
  </cols>
  <sheetData>
    <row r="1" spans="1:14" ht="18.75">
      <c r="A1" s="1"/>
      <c r="B1" s="19"/>
      <c r="C1" s="19"/>
      <c r="D1" s="20"/>
      <c r="E1" s="19"/>
      <c r="F1" s="1"/>
      <c r="G1" s="1"/>
      <c r="H1" s="1"/>
      <c r="I1" s="1"/>
      <c r="J1" s="1"/>
      <c r="K1" s="1"/>
      <c r="L1" s="1"/>
      <c r="M1" s="1"/>
      <c r="N1" s="1"/>
    </row>
    <row r="2" spans="1:14">
      <c r="A2" s="1"/>
      <c r="B2" s="1"/>
      <c r="C2" s="1"/>
      <c r="D2" s="1"/>
      <c r="E2" s="1"/>
      <c r="F2" s="1"/>
      <c r="G2" s="1"/>
      <c r="H2" s="1"/>
      <c r="I2" s="1"/>
      <c r="J2" s="1"/>
      <c r="K2" s="1"/>
      <c r="L2" s="1"/>
      <c r="M2" s="1"/>
      <c r="N2" s="1"/>
    </row>
    <row r="3" spans="1:14">
      <c r="A3" s="1"/>
      <c r="B3" s="1"/>
      <c r="C3" s="1"/>
      <c r="D3" s="1"/>
      <c r="E3" s="1"/>
      <c r="F3" s="1"/>
      <c r="G3" s="1"/>
      <c r="H3" s="1"/>
      <c r="I3" s="1"/>
      <c r="J3" s="1"/>
      <c r="K3" s="1"/>
      <c r="L3" s="1"/>
      <c r="M3" s="1"/>
      <c r="N3" s="1"/>
    </row>
    <row r="4" spans="1:14">
      <c r="A4" s="1"/>
      <c r="B4" s="1"/>
      <c r="C4" s="1"/>
      <c r="D4" s="1"/>
      <c r="E4" s="1"/>
      <c r="F4" s="1"/>
      <c r="G4" s="1"/>
      <c r="H4" s="1"/>
      <c r="I4" s="1"/>
      <c r="J4" s="1"/>
      <c r="K4" s="1"/>
      <c r="L4" s="1"/>
      <c r="M4" s="1"/>
      <c r="N4" s="1"/>
    </row>
    <row r="5" spans="1:14">
      <c r="A5" s="1"/>
      <c r="B5" s="1"/>
      <c r="C5" s="1"/>
      <c r="D5" s="1"/>
      <c r="E5" s="1"/>
      <c r="F5" s="1"/>
      <c r="G5" s="1"/>
      <c r="H5" s="1"/>
      <c r="I5" s="1"/>
      <c r="J5" s="1"/>
      <c r="K5" s="1"/>
      <c r="L5" s="1"/>
      <c r="M5" s="1"/>
      <c r="N5" s="1"/>
    </row>
    <row r="6" spans="1:14">
      <c r="A6" s="1"/>
      <c r="B6" s="1"/>
      <c r="C6" s="1"/>
      <c r="D6" s="1"/>
      <c r="E6" s="1"/>
      <c r="F6" s="1"/>
      <c r="G6" s="1"/>
      <c r="H6" s="1"/>
      <c r="I6" s="1"/>
      <c r="J6" s="1"/>
      <c r="K6" s="1"/>
      <c r="L6" s="1"/>
      <c r="M6" s="1"/>
      <c r="N6" s="1"/>
    </row>
    <row r="7" spans="1:14">
      <c r="A7" s="1"/>
      <c r="B7" s="1"/>
      <c r="C7" s="1"/>
      <c r="D7" s="1"/>
      <c r="E7" s="1"/>
      <c r="F7" s="1"/>
      <c r="G7" s="1"/>
      <c r="H7" s="1"/>
      <c r="I7" s="1"/>
      <c r="J7" s="1"/>
      <c r="K7" s="1"/>
      <c r="L7" s="1"/>
      <c r="M7" s="1"/>
      <c r="N7" s="1"/>
    </row>
    <row r="8" spans="1:14">
      <c r="A8" s="1"/>
      <c r="B8" s="1"/>
      <c r="C8" s="1"/>
      <c r="D8" s="1"/>
      <c r="E8" s="1"/>
      <c r="F8" s="1"/>
      <c r="G8" s="1"/>
      <c r="H8" s="1"/>
      <c r="I8" s="1"/>
      <c r="J8" s="1"/>
      <c r="K8" s="1"/>
      <c r="L8" s="1"/>
      <c r="M8" s="1"/>
      <c r="N8" s="1"/>
    </row>
    <row r="9" spans="1:14">
      <c r="A9" s="1"/>
      <c r="B9" s="1"/>
      <c r="C9" s="1"/>
      <c r="D9" s="1"/>
      <c r="E9" s="1"/>
      <c r="F9" s="1"/>
      <c r="G9" s="1"/>
      <c r="H9" s="1"/>
      <c r="I9" s="1"/>
      <c r="J9" s="1"/>
      <c r="K9" s="1"/>
      <c r="L9" s="1"/>
      <c r="M9" s="1"/>
      <c r="N9" s="1"/>
    </row>
    <row r="10" spans="1:14">
      <c r="A10" s="1"/>
      <c r="B10" s="1"/>
      <c r="C10" s="1"/>
      <c r="D10" s="1"/>
      <c r="E10" s="1"/>
      <c r="F10" s="1"/>
      <c r="G10" s="1"/>
      <c r="H10" s="1"/>
      <c r="I10" s="1"/>
      <c r="J10" s="1"/>
      <c r="K10" s="1"/>
      <c r="L10" s="1"/>
      <c r="M10" s="1"/>
      <c r="N10" s="1"/>
    </row>
    <row r="11" spans="1:14">
      <c r="A11" s="1"/>
      <c r="B11" s="1"/>
      <c r="C11" s="1"/>
      <c r="D11" s="1"/>
      <c r="E11" s="1"/>
      <c r="F11" s="1"/>
      <c r="G11" s="1"/>
      <c r="H11" s="1"/>
      <c r="I11" s="1"/>
      <c r="J11" s="1"/>
      <c r="K11" s="1"/>
      <c r="L11" s="1"/>
      <c r="M11" s="1"/>
      <c r="N11" s="1"/>
    </row>
    <row r="12" spans="1:14">
      <c r="A12" s="1"/>
      <c r="B12" s="1"/>
      <c r="C12" s="1"/>
      <c r="D12" s="1"/>
      <c r="E12" s="1"/>
      <c r="F12" s="1"/>
      <c r="G12" s="1"/>
      <c r="H12" s="1"/>
      <c r="I12" s="1"/>
      <c r="J12" s="1"/>
      <c r="K12" s="1"/>
      <c r="L12" s="1"/>
      <c r="M12" s="1"/>
      <c r="N12" s="1"/>
    </row>
    <row r="13" spans="1:14">
      <c r="D13" s="1"/>
      <c r="E13" s="2" t="s">
        <v>0</v>
      </c>
      <c r="F13" s="3" t="s">
        <v>1</v>
      </c>
      <c r="G13" s="4" t="s">
        <v>2</v>
      </c>
      <c r="H13" s="1"/>
      <c r="I13" s="1"/>
      <c r="J13" s="1"/>
      <c r="K13" s="1"/>
      <c r="L13" s="1"/>
      <c r="M13" s="1"/>
      <c r="N13" s="1"/>
    </row>
    <row r="14" spans="1:14">
      <c r="D14" s="1"/>
      <c r="E14" s="5" t="s">
        <v>3</v>
      </c>
      <c r="F14" s="6">
        <v>1440</v>
      </c>
      <c r="G14" s="7">
        <f>F14/$F$17</f>
        <v>0.582995951417004</v>
      </c>
      <c r="H14" s="1"/>
      <c r="I14" s="1"/>
      <c r="J14" s="1"/>
      <c r="K14" s="1"/>
      <c r="L14" s="1"/>
      <c r="M14" s="1"/>
      <c r="N14" s="1"/>
    </row>
    <row r="15" spans="1:14">
      <c r="D15" s="1"/>
      <c r="E15" s="8" t="s">
        <v>4</v>
      </c>
      <c r="F15" s="9">
        <v>550</v>
      </c>
      <c r="G15" s="7">
        <f>F15/$F$17</f>
        <v>0.22267206477732793</v>
      </c>
      <c r="H15" s="1"/>
      <c r="I15" s="1"/>
      <c r="J15" s="1"/>
      <c r="K15" s="1"/>
      <c r="L15" s="1"/>
      <c r="M15" s="1"/>
      <c r="N15" s="1"/>
    </row>
    <row r="16" spans="1:14">
      <c r="D16" s="1"/>
      <c r="E16" s="8" t="s">
        <v>5</v>
      </c>
      <c r="F16" s="10">
        <v>480</v>
      </c>
      <c r="G16" s="11">
        <f>F16/$F$17</f>
        <v>0.19433198380566802</v>
      </c>
      <c r="H16" s="1"/>
      <c r="I16" s="1"/>
      <c r="J16" s="1"/>
      <c r="K16" s="1"/>
      <c r="L16" s="1"/>
      <c r="M16" s="1"/>
      <c r="N16" s="1"/>
    </row>
    <row r="17" spans="1:14">
      <c r="D17" s="1"/>
      <c r="E17" s="12" t="s">
        <v>6</v>
      </c>
      <c r="F17" s="13">
        <v>2470</v>
      </c>
      <c r="G17" s="14">
        <f>F17/$F$17</f>
        <v>1</v>
      </c>
      <c r="H17" s="1"/>
      <c r="I17" s="1"/>
      <c r="J17" s="1"/>
      <c r="K17" s="1"/>
      <c r="L17" s="1"/>
      <c r="M17" s="1"/>
      <c r="N17" s="1"/>
    </row>
    <row r="18" spans="1:14">
      <c r="A18" s="1"/>
      <c r="B18" s="1"/>
      <c r="C18" s="1"/>
      <c r="D18" s="1"/>
      <c r="E18" s="1"/>
      <c r="F18" s="1"/>
      <c r="G18" s="1"/>
      <c r="H18" s="1"/>
      <c r="I18" s="1"/>
      <c r="J18" s="1"/>
      <c r="K18" s="1"/>
      <c r="L18" s="1"/>
      <c r="M18" s="1"/>
      <c r="N18" s="1"/>
    </row>
    <row r="19" spans="1:14">
      <c r="A19" s="1"/>
      <c r="B19" s="1"/>
      <c r="C19" s="1"/>
      <c r="D19" s="1"/>
      <c r="E19" s="1"/>
      <c r="F19" s="1"/>
      <c r="G19" s="1"/>
      <c r="H19" s="1"/>
      <c r="I19" s="1"/>
      <c r="J19" s="1"/>
      <c r="K19" s="1"/>
      <c r="L19" s="1"/>
      <c r="M19" s="1"/>
      <c r="N19" s="1"/>
    </row>
    <row r="20" spans="1:14">
      <c r="A20" s="1"/>
      <c r="B20" s="1"/>
      <c r="C20" s="1"/>
      <c r="D20" s="1"/>
      <c r="E20" s="1"/>
      <c r="F20" s="1"/>
      <c r="G20" s="1"/>
      <c r="H20" s="1"/>
      <c r="I20" s="1"/>
      <c r="J20" s="1"/>
      <c r="K20" s="1"/>
      <c r="L20" s="1"/>
      <c r="M20" s="1"/>
      <c r="N20" s="1"/>
    </row>
    <row r="21" spans="1:14">
      <c r="A21" s="1"/>
      <c r="B21" s="1"/>
      <c r="C21" s="1"/>
      <c r="D21" s="1"/>
      <c r="E21" s="1"/>
      <c r="F21" s="1"/>
      <c r="G21" s="1"/>
      <c r="H21" s="1"/>
      <c r="I21" s="1"/>
      <c r="J21" s="1"/>
      <c r="K21" s="1"/>
      <c r="L21" s="1"/>
      <c r="M21" s="1"/>
      <c r="N21" s="1"/>
    </row>
    <row r="22" spans="1:14">
      <c r="A22" s="1"/>
      <c r="B22" s="1"/>
      <c r="C22" s="1"/>
      <c r="D22" s="1"/>
      <c r="E22" s="1"/>
      <c r="F22" s="1"/>
      <c r="G22" s="1"/>
      <c r="H22" s="1"/>
      <c r="I22" s="1"/>
      <c r="J22" s="1"/>
      <c r="K22" s="1"/>
      <c r="L22" s="1"/>
      <c r="M22" s="1"/>
      <c r="N22" s="1"/>
    </row>
    <row r="23" spans="1:14">
      <c r="A23" s="1"/>
      <c r="B23" s="1"/>
      <c r="C23" s="1"/>
      <c r="D23" s="1"/>
      <c r="E23" s="1"/>
      <c r="F23" s="1"/>
      <c r="G23" s="1"/>
      <c r="H23" s="1"/>
      <c r="I23" s="1"/>
      <c r="J23" s="1"/>
      <c r="K23" s="1"/>
      <c r="L23" s="1"/>
      <c r="M23" s="1"/>
      <c r="N23" s="1"/>
    </row>
    <row r="24" spans="1:14">
      <c r="A24" s="1"/>
      <c r="B24" s="1"/>
      <c r="C24" s="1"/>
      <c r="D24" s="1"/>
      <c r="E24" s="1"/>
      <c r="F24" s="1"/>
      <c r="G24" s="1"/>
      <c r="H24" s="1"/>
      <c r="I24" s="1"/>
      <c r="J24" s="1"/>
      <c r="K24" s="1"/>
      <c r="L24" s="1"/>
      <c r="M24" s="1"/>
      <c r="N24" s="1"/>
    </row>
    <row r="25" spans="1:14">
      <c r="A25" s="1"/>
      <c r="B25" s="1"/>
      <c r="C25" s="1"/>
      <c r="D25" s="1"/>
      <c r="E25" s="1"/>
      <c r="F25" s="1"/>
      <c r="G25" s="1"/>
      <c r="H25" s="1"/>
      <c r="I25" s="1"/>
      <c r="J25" s="1"/>
      <c r="K25" s="1"/>
      <c r="L25" s="1"/>
      <c r="M25" s="1"/>
      <c r="N25" s="1"/>
    </row>
    <row r="26" spans="1:14">
      <c r="D26" s="1"/>
      <c r="E26" s="2" t="s">
        <v>7</v>
      </c>
      <c r="F26" s="3" t="s">
        <v>1</v>
      </c>
      <c r="G26" s="15" t="s">
        <v>2</v>
      </c>
      <c r="H26" s="1"/>
      <c r="I26" s="1"/>
      <c r="J26" s="1"/>
      <c r="K26" s="1"/>
      <c r="L26" s="1"/>
      <c r="M26" s="1"/>
      <c r="N26" s="1"/>
    </row>
    <row r="27" spans="1:14">
      <c r="D27" s="1"/>
      <c r="E27" s="5" t="s">
        <v>8</v>
      </c>
      <c r="F27" s="6">
        <v>990</v>
      </c>
      <c r="G27" s="7">
        <f>(F27/$F$30)</f>
        <v>0.40080971659919029</v>
      </c>
      <c r="H27" s="1"/>
      <c r="I27" s="1"/>
      <c r="J27" s="1"/>
      <c r="K27" s="1"/>
      <c r="L27" s="1"/>
      <c r="M27" s="1"/>
      <c r="N27" s="1"/>
    </row>
    <row r="28" spans="1:14">
      <c r="D28" s="1"/>
      <c r="E28" s="8" t="s">
        <v>9</v>
      </c>
      <c r="F28" s="9">
        <v>815</v>
      </c>
      <c r="G28" s="7">
        <f>(F28/$F$30)</f>
        <v>0.32995951417004049</v>
      </c>
      <c r="H28" s="1"/>
      <c r="I28" s="1"/>
      <c r="J28" s="1"/>
      <c r="K28" s="1"/>
      <c r="L28" s="1"/>
      <c r="M28" s="1"/>
      <c r="N28" s="1"/>
    </row>
    <row r="29" spans="1:14">
      <c r="D29" s="1"/>
      <c r="E29" s="8" t="s">
        <v>10</v>
      </c>
      <c r="F29" s="10">
        <v>665</v>
      </c>
      <c r="G29" s="7">
        <f>(F29/$F$30)</f>
        <v>0.26923076923076922</v>
      </c>
      <c r="H29" s="1"/>
      <c r="I29" s="1"/>
      <c r="J29" s="1"/>
      <c r="K29" s="1"/>
      <c r="L29" s="1"/>
      <c r="M29" s="1"/>
      <c r="N29" s="1"/>
    </row>
    <row r="30" spans="1:14">
      <c r="D30" s="1"/>
      <c r="E30" s="12" t="s">
        <v>6</v>
      </c>
      <c r="F30" s="16">
        <v>2470</v>
      </c>
      <c r="G30" s="7">
        <f>(F30/$F$30)</f>
        <v>1</v>
      </c>
      <c r="H30" s="1"/>
      <c r="I30" s="1"/>
      <c r="J30" s="1"/>
      <c r="K30" s="1"/>
      <c r="L30" s="1"/>
      <c r="M30" s="1"/>
      <c r="N30" s="1"/>
    </row>
    <row r="31" spans="1:14">
      <c r="A31" s="1"/>
      <c r="B31" s="1"/>
      <c r="C31" s="1"/>
      <c r="D31" s="1"/>
      <c r="E31" s="1"/>
      <c r="F31" s="1"/>
      <c r="G31" s="1"/>
      <c r="H31" s="1"/>
      <c r="I31" s="1"/>
      <c r="J31" s="1"/>
      <c r="K31" s="1"/>
      <c r="L31" s="1"/>
      <c r="M31" s="1"/>
      <c r="N31" s="1"/>
    </row>
    <row r="32" spans="1:14">
      <c r="A32" s="1"/>
      <c r="B32" s="1"/>
      <c r="C32" s="1"/>
      <c r="D32" s="1"/>
      <c r="E32" s="1"/>
      <c r="F32" s="1"/>
      <c r="G32" s="1"/>
      <c r="H32" s="1"/>
      <c r="I32" s="1"/>
      <c r="J32" s="1"/>
      <c r="K32" s="1"/>
      <c r="L32" s="1"/>
      <c r="M32" s="1"/>
      <c r="N32" s="1"/>
    </row>
    <row r="33" spans="1:14">
      <c r="A33" s="1"/>
      <c r="B33" s="1"/>
      <c r="C33" s="1"/>
      <c r="D33" s="1"/>
      <c r="E33" s="1"/>
      <c r="F33" s="1"/>
      <c r="G33" s="1"/>
      <c r="H33" s="1"/>
      <c r="I33" s="1"/>
      <c r="J33" s="1"/>
      <c r="K33" s="1"/>
      <c r="L33" s="1"/>
      <c r="M33" s="1"/>
      <c r="N33" s="1"/>
    </row>
    <row r="34" spans="1:14">
      <c r="A34" s="1"/>
      <c r="B34" s="1"/>
      <c r="C34" s="1"/>
      <c r="D34" s="1"/>
      <c r="E34" s="1"/>
      <c r="F34" s="1"/>
      <c r="G34" s="1"/>
      <c r="H34" s="1"/>
      <c r="I34" s="1"/>
      <c r="J34" s="1"/>
      <c r="K34" s="1"/>
      <c r="L34" s="1"/>
      <c r="M34" s="1"/>
      <c r="N34" s="1"/>
    </row>
    <row r="35" spans="1:14">
      <c r="A35" s="1"/>
      <c r="B35" s="1"/>
      <c r="C35" s="1"/>
      <c r="D35" s="1"/>
      <c r="E35" s="1"/>
      <c r="F35" s="1"/>
      <c r="G35" s="1"/>
      <c r="H35" s="1"/>
      <c r="I35" s="1"/>
      <c r="J35" s="1"/>
      <c r="K35" s="1"/>
      <c r="L35" s="1"/>
      <c r="M35" s="1"/>
      <c r="N35" s="1"/>
    </row>
    <row r="36" spans="1:14">
      <c r="A36" s="1"/>
      <c r="B36" s="1"/>
      <c r="C36" s="1"/>
      <c r="D36" s="1"/>
      <c r="E36" s="1"/>
      <c r="F36" s="1"/>
      <c r="G36" s="1"/>
      <c r="H36" s="1"/>
      <c r="I36" s="1"/>
      <c r="J36" s="1"/>
      <c r="K36" s="1"/>
      <c r="L36" s="1"/>
      <c r="M36" s="1"/>
      <c r="N36" s="1"/>
    </row>
    <row r="37" spans="1:14">
      <c r="A37" s="1"/>
      <c r="B37" s="1"/>
      <c r="C37" s="1"/>
      <c r="D37" s="1"/>
      <c r="E37" s="1"/>
      <c r="F37" s="1"/>
      <c r="G37" s="1"/>
      <c r="H37" s="1"/>
      <c r="I37" s="1"/>
      <c r="J37" s="1"/>
      <c r="K37" s="1"/>
      <c r="L37" s="1"/>
      <c r="M37" s="1"/>
      <c r="N37" s="1"/>
    </row>
    <row r="38" spans="1:14">
      <c r="A38" s="1"/>
      <c r="B38" s="1"/>
      <c r="C38" s="1"/>
      <c r="D38" s="1"/>
      <c r="E38" s="1"/>
      <c r="F38" s="1"/>
      <c r="G38" s="1"/>
      <c r="H38" s="1"/>
      <c r="I38" s="1"/>
      <c r="J38" s="1"/>
      <c r="K38" s="1"/>
      <c r="L38" s="1"/>
      <c r="M38" s="1"/>
      <c r="N38" s="1"/>
    </row>
    <row r="39" spans="1:14">
      <c r="A39" s="1"/>
      <c r="B39" s="1"/>
      <c r="C39" s="1"/>
      <c r="D39" s="1"/>
      <c r="E39" s="1"/>
      <c r="F39" s="1"/>
      <c r="G39" s="1"/>
      <c r="H39" s="1"/>
      <c r="I39" s="1"/>
      <c r="J39" s="1"/>
      <c r="K39" s="1"/>
      <c r="L39" s="1"/>
      <c r="M39" s="1"/>
      <c r="N39" s="1"/>
    </row>
    <row r="40" spans="1:14">
      <c r="D40" s="1"/>
      <c r="E40" s="2" t="s">
        <v>11</v>
      </c>
      <c r="F40" s="3" t="s">
        <v>1</v>
      </c>
      <c r="G40" s="4" t="s">
        <v>2</v>
      </c>
      <c r="H40" s="1"/>
      <c r="I40" s="1"/>
      <c r="J40" s="1"/>
      <c r="K40" s="1"/>
      <c r="L40" s="1"/>
      <c r="M40" s="1"/>
      <c r="N40" s="1"/>
    </row>
    <row r="41" spans="1:14">
      <c r="D41" s="1"/>
      <c r="E41" s="5" t="s">
        <v>12</v>
      </c>
      <c r="F41" s="6">
        <v>565</v>
      </c>
      <c r="G41" s="7">
        <f>F41/$F$45</f>
        <v>0.22874493927125505</v>
      </c>
      <c r="H41" s="1"/>
      <c r="I41" s="1"/>
      <c r="J41" s="1"/>
      <c r="K41" s="1"/>
      <c r="L41" s="1"/>
      <c r="M41" s="1"/>
      <c r="N41" s="1"/>
    </row>
    <row r="42" spans="1:14">
      <c r="D42" s="1"/>
      <c r="E42" s="8" t="s">
        <v>13</v>
      </c>
      <c r="F42" s="9">
        <v>815</v>
      </c>
      <c r="G42" s="7">
        <f>F42/$F$45</f>
        <v>0.32995951417004049</v>
      </c>
      <c r="H42" s="1"/>
      <c r="I42" s="1"/>
      <c r="J42" s="1"/>
      <c r="K42" s="1"/>
      <c r="L42" s="1"/>
      <c r="M42" s="1"/>
      <c r="N42" s="1"/>
    </row>
    <row r="43" spans="1:14">
      <c r="D43" s="1"/>
      <c r="E43" s="8" t="s">
        <v>14</v>
      </c>
      <c r="F43" s="9">
        <v>620</v>
      </c>
      <c r="G43" s="7">
        <f>F43/$F$45</f>
        <v>0.25101214574898784</v>
      </c>
      <c r="H43" s="1"/>
      <c r="I43" s="1"/>
      <c r="J43" s="1"/>
      <c r="K43" s="1"/>
      <c r="L43" s="1"/>
      <c r="M43" s="1"/>
      <c r="N43" s="1"/>
    </row>
    <row r="44" spans="1:14">
      <c r="D44" s="1"/>
      <c r="E44" s="8" t="s">
        <v>15</v>
      </c>
      <c r="F44" s="10">
        <v>470</v>
      </c>
      <c r="G44" s="11">
        <f>F44/$F$45</f>
        <v>0.19028340080971659</v>
      </c>
      <c r="H44" s="1"/>
      <c r="I44" s="1"/>
      <c r="J44" s="1"/>
      <c r="K44" s="1"/>
      <c r="L44" s="1"/>
      <c r="M44" s="1"/>
      <c r="N44" s="1"/>
    </row>
    <row r="45" spans="1:14">
      <c r="D45" s="1"/>
      <c r="E45" s="12" t="s">
        <v>6</v>
      </c>
      <c r="F45" s="13">
        <v>2470</v>
      </c>
      <c r="G45" s="14">
        <f>F45/$F$45</f>
        <v>1</v>
      </c>
      <c r="H45" s="1"/>
      <c r="I45" s="1"/>
      <c r="J45" s="1"/>
      <c r="K45" s="1"/>
      <c r="L45" s="1"/>
      <c r="M45" s="1"/>
      <c r="N45" s="1"/>
    </row>
    <row r="46" spans="1:14">
      <c r="A46" s="1"/>
      <c r="B46" s="1"/>
      <c r="C46" s="1"/>
      <c r="D46" s="1"/>
      <c r="E46" s="1"/>
      <c r="F46" s="1"/>
      <c r="G46" s="1"/>
      <c r="H46" s="1"/>
      <c r="I46" s="1"/>
      <c r="J46" s="1"/>
      <c r="K46" s="1"/>
      <c r="L46" s="1"/>
      <c r="M46" s="1"/>
      <c r="N46" s="1"/>
    </row>
    <row r="47" spans="1:14">
      <c r="A47" s="1"/>
      <c r="B47" s="1"/>
      <c r="C47" s="1"/>
      <c r="D47" s="1"/>
      <c r="E47" s="1"/>
      <c r="F47" s="1"/>
      <c r="G47" s="1"/>
      <c r="H47" s="1"/>
      <c r="I47" s="1"/>
      <c r="J47" s="1"/>
      <c r="K47" s="1"/>
      <c r="L47" s="1"/>
      <c r="M47" s="1"/>
      <c r="N47" s="1"/>
    </row>
    <row r="48" spans="1:14">
      <c r="A48" s="1"/>
      <c r="B48" s="1"/>
      <c r="C48" s="1"/>
      <c r="D48" s="1"/>
      <c r="E48" s="1"/>
      <c r="F48" s="1"/>
      <c r="G48" s="1"/>
      <c r="H48" s="1"/>
      <c r="I48" s="1"/>
      <c r="J48" s="1"/>
      <c r="K48" s="1"/>
      <c r="L48" s="1"/>
      <c r="M48" s="1"/>
      <c r="N48" s="1"/>
    </row>
    <row r="49" spans="1:14">
      <c r="A49" s="1"/>
      <c r="B49" s="1"/>
      <c r="C49" s="1"/>
      <c r="D49" s="1"/>
      <c r="E49" s="1"/>
      <c r="F49" s="1"/>
      <c r="G49" s="1"/>
      <c r="H49" s="1"/>
      <c r="I49" s="1"/>
      <c r="J49" s="1"/>
      <c r="K49" s="1"/>
      <c r="L49" s="1"/>
      <c r="M49" s="1"/>
      <c r="N49" s="1"/>
    </row>
    <row r="50" spans="1:14">
      <c r="A50" s="1"/>
      <c r="B50" s="1"/>
      <c r="C50" s="1"/>
      <c r="D50" s="1"/>
      <c r="E50" s="1"/>
      <c r="F50" s="1"/>
      <c r="G50" s="1"/>
      <c r="H50" s="1"/>
      <c r="I50" s="1"/>
      <c r="J50" s="1"/>
      <c r="K50" s="1"/>
      <c r="L50" s="1"/>
      <c r="M50" s="1"/>
      <c r="N50" s="1"/>
    </row>
    <row r="51" spans="1:14">
      <c r="A51" s="1"/>
      <c r="B51" s="1"/>
      <c r="C51" s="1"/>
      <c r="D51" s="1"/>
      <c r="E51" s="1"/>
      <c r="F51" s="1"/>
      <c r="G51" s="1"/>
      <c r="H51" s="1"/>
      <c r="I51" s="1"/>
      <c r="J51" s="1"/>
      <c r="K51" s="1"/>
      <c r="L51" s="1"/>
      <c r="M51" s="1"/>
      <c r="N51" s="1"/>
    </row>
    <row r="52" spans="1:14">
      <c r="A52" s="1"/>
      <c r="B52" s="1"/>
      <c r="C52" s="1"/>
      <c r="D52" s="1"/>
      <c r="E52" s="1"/>
      <c r="F52" s="1"/>
      <c r="G52" s="1"/>
      <c r="H52" s="1"/>
      <c r="I52" s="1"/>
      <c r="J52" s="1"/>
      <c r="K52" s="1"/>
      <c r="L52" s="1"/>
      <c r="M52" s="1"/>
      <c r="N52" s="1"/>
    </row>
    <row r="53" spans="1:14">
      <c r="A53" s="1"/>
      <c r="B53" s="1"/>
      <c r="C53" s="1"/>
      <c r="D53" s="1"/>
      <c r="E53" s="1"/>
      <c r="F53" s="1"/>
      <c r="G53" s="1"/>
      <c r="H53" s="1"/>
      <c r="I53" s="1"/>
      <c r="J53" s="1"/>
      <c r="K53" s="1"/>
      <c r="L53" s="1"/>
      <c r="M53" s="1"/>
      <c r="N53" s="1"/>
    </row>
    <row r="54" spans="1:14">
      <c r="D54" s="1"/>
      <c r="E54" s="17" t="s">
        <v>16</v>
      </c>
      <c r="F54" s="1" t="s">
        <v>1</v>
      </c>
      <c r="G54" s="1"/>
      <c r="H54" s="1"/>
      <c r="I54" s="1"/>
      <c r="J54" s="1"/>
      <c r="K54" s="1"/>
      <c r="L54" s="1"/>
      <c r="M54" s="1"/>
      <c r="N54" s="1"/>
    </row>
    <row r="55" spans="1:14">
      <c r="D55" s="1"/>
      <c r="E55" s="1" t="s">
        <v>17</v>
      </c>
      <c r="F55" s="18">
        <v>50</v>
      </c>
      <c r="G55" s="1"/>
      <c r="H55" s="1"/>
      <c r="I55" s="1"/>
      <c r="J55" s="1"/>
      <c r="K55" s="1"/>
      <c r="L55" s="1"/>
      <c r="M55" s="1"/>
      <c r="N55" s="1"/>
    </row>
    <row r="56" spans="1:14">
      <c r="D56" s="1"/>
      <c r="E56" s="1" t="s">
        <v>18</v>
      </c>
      <c r="F56" s="18">
        <v>60</v>
      </c>
      <c r="G56" s="1"/>
      <c r="H56" s="1"/>
      <c r="I56" s="1"/>
      <c r="J56" s="1"/>
      <c r="K56" s="1"/>
      <c r="L56" s="1"/>
      <c r="M56" s="1"/>
      <c r="N56" s="1"/>
    </row>
    <row r="57" spans="1:14">
      <c r="D57" s="1"/>
      <c r="E57" s="1" t="s">
        <v>19</v>
      </c>
      <c r="F57" s="18">
        <v>180</v>
      </c>
      <c r="G57" s="1"/>
      <c r="H57" s="1"/>
      <c r="I57" s="1"/>
      <c r="J57" s="1"/>
      <c r="K57" s="1"/>
      <c r="L57" s="1"/>
      <c r="M57" s="1"/>
      <c r="N57" s="1"/>
    </row>
    <row r="58" spans="1:14">
      <c r="D58" s="1"/>
      <c r="E58" s="1" t="s">
        <v>20</v>
      </c>
      <c r="F58" s="18">
        <v>45</v>
      </c>
      <c r="G58" s="1"/>
      <c r="H58" s="1"/>
      <c r="I58" s="1"/>
      <c r="J58" s="1"/>
      <c r="K58" s="1"/>
      <c r="L58" s="1"/>
      <c r="M58" s="1"/>
      <c r="N58" s="1"/>
    </row>
    <row r="59" spans="1:14">
      <c r="D59" s="1"/>
      <c r="E59" s="1" t="s">
        <v>21</v>
      </c>
      <c r="F59" s="18">
        <v>125</v>
      </c>
      <c r="G59" s="1"/>
      <c r="H59" s="1"/>
      <c r="I59" s="1"/>
      <c r="J59" s="1"/>
      <c r="K59" s="1"/>
      <c r="L59" s="1"/>
      <c r="M59" s="1"/>
      <c r="N59" s="1"/>
    </row>
    <row r="60" spans="1:14">
      <c r="D60" s="1"/>
      <c r="E60" s="1" t="s">
        <v>22</v>
      </c>
      <c r="F60" s="18">
        <v>50</v>
      </c>
      <c r="G60" s="1"/>
      <c r="H60" s="1"/>
      <c r="I60" s="1"/>
      <c r="J60" s="1"/>
      <c r="K60" s="1"/>
      <c r="L60" s="1"/>
      <c r="M60" s="1"/>
      <c r="N60" s="1"/>
    </row>
    <row r="61" spans="1:14">
      <c r="D61" s="1"/>
      <c r="E61" s="1" t="s">
        <v>23</v>
      </c>
      <c r="F61" s="18">
        <v>360</v>
      </c>
      <c r="G61" s="1"/>
      <c r="H61" s="1"/>
      <c r="I61" s="1"/>
      <c r="J61" s="1"/>
      <c r="K61" s="1"/>
      <c r="L61" s="1"/>
      <c r="M61" s="1"/>
      <c r="N61" s="1"/>
    </row>
    <row r="62" spans="1:14">
      <c r="D62" s="1"/>
      <c r="E62" s="1" t="s">
        <v>24</v>
      </c>
      <c r="F62" s="18">
        <v>90</v>
      </c>
      <c r="G62" s="1"/>
      <c r="H62" s="1"/>
      <c r="I62" s="1"/>
      <c r="J62" s="1"/>
      <c r="K62" s="1"/>
      <c r="L62" s="1"/>
      <c r="M62" s="1"/>
      <c r="N62" s="1"/>
    </row>
    <row r="63" spans="1:14">
      <c r="D63" s="1"/>
      <c r="E63" s="1" t="s">
        <v>25</v>
      </c>
      <c r="F63" s="18">
        <v>75</v>
      </c>
      <c r="G63" s="1"/>
      <c r="H63" s="1"/>
      <c r="I63" s="1"/>
      <c r="J63" s="1"/>
      <c r="K63" s="1"/>
      <c r="L63" s="1"/>
      <c r="M63" s="1"/>
      <c r="N63" s="1"/>
    </row>
    <row r="64" spans="1:14">
      <c r="D64" s="1"/>
      <c r="E64" s="1" t="s">
        <v>26</v>
      </c>
      <c r="F64" s="18">
        <v>60</v>
      </c>
      <c r="G64" s="1"/>
      <c r="H64" s="1"/>
      <c r="I64" s="1"/>
      <c r="J64" s="1"/>
      <c r="K64" s="1"/>
      <c r="L64" s="1"/>
      <c r="M64" s="1"/>
      <c r="N64" s="1"/>
    </row>
    <row r="65" spans="1:14">
      <c r="D65" s="1"/>
      <c r="E65" s="1" t="s">
        <v>27</v>
      </c>
      <c r="F65" s="18">
        <v>360</v>
      </c>
      <c r="G65" s="1"/>
      <c r="H65" s="1"/>
      <c r="I65" s="1"/>
      <c r="J65" s="1"/>
      <c r="K65" s="1"/>
      <c r="L65" s="1"/>
      <c r="M65" s="1"/>
      <c r="N65" s="1"/>
    </row>
    <row r="66" spans="1:14">
      <c r="D66" s="1"/>
      <c r="E66" s="1" t="s">
        <v>28</v>
      </c>
      <c r="F66" s="18">
        <v>25</v>
      </c>
      <c r="G66" s="1"/>
      <c r="H66" s="1"/>
      <c r="I66" s="1"/>
      <c r="J66" s="1"/>
      <c r="K66" s="1"/>
      <c r="L66" s="1"/>
      <c r="M66" s="1"/>
      <c r="N66" s="1"/>
    </row>
    <row r="67" spans="1:14">
      <c r="D67" s="1"/>
      <c r="E67" s="1" t="s">
        <v>29</v>
      </c>
      <c r="F67" s="18">
        <v>75</v>
      </c>
      <c r="G67" s="1"/>
      <c r="H67" s="1"/>
      <c r="I67" s="1"/>
      <c r="J67" s="1"/>
      <c r="K67" s="1"/>
      <c r="L67" s="1"/>
      <c r="M67" s="1"/>
      <c r="N67" s="1"/>
    </row>
    <row r="68" spans="1:14">
      <c r="D68" s="1"/>
      <c r="E68" s="1" t="s">
        <v>30</v>
      </c>
      <c r="F68" s="18">
        <v>180</v>
      </c>
      <c r="G68" s="1"/>
      <c r="H68" s="1"/>
      <c r="I68" s="1"/>
      <c r="J68" s="1"/>
      <c r="K68" s="1"/>
      <c r="L68" s="1"/>
      <c r="M68" s="1"/>
      <c r="N68" s="1"/>
    </row>
    <row r="69" spans="1:14">
      <c r="D69" s="1"/>
      <c r="E69" s="1" t="s">
        <v>31</v>
      </c>
      <c r="F69" s="18">
        <v>100</v>
      </c>
      <c r="G69" s="1"/>
      <c r="H69" s="1"/>
      <c r="I69" s="1"/>
      <c r="J69" s="1"/>
      <c r="K69" s="1"/>
      <c r="L69" s="1"/>
      <c r="M69" s="1"/>
      <c r="N69" s="1"/>
    </row>
    <row r="70" spans="1:14">
      <c r="D70" s="1"/>
      <c r="E70" s="1" t="s">
        <v>32</v>
      </c>
      <c r="F70" s="18">
        <v>180</v>
      </c>
      <c r="G70" s="1"/>
      <c r="H70" s="1"/>
      <c r="I70" s="1"/>
      <c r="J70" s="1"/>
      <c r="K70" s="1"/>
      <c r="L70" s="1"/>
      <c r="M70" s="1"/>
      <c r="N70" s="1"/>
    </row>
    <row r="71" spans="1:14">
      <c r="D71" s="1"/>
      <c r="E71" s="1" t="s">
        <v>33</v>
      </c>
      <c r="F71" s="18">
        <v>75</v>
      </c>
      <c r="G71" s="1"/>
      <c r="H71" s="1"/>
      <c r="I71" s="1"/>
      <c r="J71" s="1"/>
      <c r="K71" s="1"/>
      <c r="L71" s="1"/>
      <c r="M71" s="1"/>
      <c r="N71" s="1"/>
    </row>
    <row r="72" spans="1:14">
      <c r="D72" s="1"/>
      <c r="E72" s="1" t="s">
        <v>34</v>
      </c>
      <c r="F72" s="18">
        <v>30</v>
      </c>
      <c r="G72" s="1"/>
      <c r="H72" s="1"/>
      <c r="I72" s="1"/>
      <c r="J72" s="1"/>
      <c r="K72" s="1"/>
      <c r="L72" s="1"/>
      <c r="M72" s="1"/>
      <c r="N72" s="1"/>
    </row>
    <row r="73" spans="1:14">
      <c r="D73" s="1"/>
      <c r="E73" s="1" t="s">
        <v>35</v>
      </c>
      <c r="F73" s="18">
        <v>180</v>
      </c>
      <c r="G73" s="1"/>
      <c r="H73" s="1"/>
      <c r="I73" s="1"/>
      <c r="J73" s="1"/>
      <c r="K73" s="1"/>
      <c r="L73" s="1"/>
      <c r="M73" s="1"/>
      <c r="N73" s="1"/>
    </row>
    <row r="74" spans="1:14">
      <c r="D74" s="1"/>
      <c r="E74" s="1" t="s">
        <v>36</v>
      </c>
      <c r="F74" s="18">
        <v>45</v>
      </c>
      <c r="G74" s="1"/>
      <c r="H74" s="1"/>
      <c r="I74" s="1"/>
      <c r="J74" s="1"/>
      <c r="K74" s="1"/>
      <c r="L74" s="1"/>
      <c r="M74" s="1"/>
      <c r="N74" s="1"/>
    </row>
    <row r="75" spans="1:14">
      <c r="D75" s="1"/>
      <c r="E75" s="1" t="s">
        <v>37</v>
      </c>
      <c r="F75" s="18">
        <v>50</v>
      </c>
      <c r="G75" s="1"/>
      <c r="H75" s="1"/>
      <c r="I75" s="1"/>
      <c r="J75" s="1"/>
      <c r="K75" s="1"/>
      <c r="L75" s="1"/>
      <c r="M75" s="1"/>
      <c r="N75" s="1"/>
    </row>
    <row r="76" spans="1:14">
      <c r="D76" s="1"/>
      <c r="E76" s="1" t="s">
        <v>38</v>
      </c>
      <c r="F76" s="18">
        <v>75</v>
      </c>
      <c r="G76" s="1"/>
      <c r="H76" s="1"/>
      <c r="I76" s="1"/>
      <c r="J76" s="1"/>
      <c r="K76" s="1"/>
      <c r="L76" s="1"/>
      <c r="M76" s="1"/>
      <c r="N76" s="1"/>
    </row>
    <row r="77" spans="1:14">
      <c r="D77" s="1"/>
      <c r="E77" s="1" t="s">
        <v>39</v>
      </c>
      <c r="F77" s="18">
        <v>2470</v>
      </c>
      <c r="G77" s="1"/>
      <c r="H77" s="1"/>
      <c r="I77" s="1"/>
      <c r="J77" s="1"/>
      <c r="K77" s="1"/>
      <c r="L77" s="1"/>
      <c r="M77" s="1"/>
      <c r="N77" s="1"/>
    </row>
    <row r="78" spans="1:14">
      <c r="A78" s="1"/>
      <c r="B78" s="1"/>
      <c r="C78" s="1"/>
      <c r="D78" s="1"/>
      <c r="E78" s="1"/>
      <c r="F78" s="1"/>
      <c r="G78" s="1"/>
      <c r="H78" s="1"/>
      <c r="I78" s="1"/>
      <c r="J78" s="1"/>
      <c r="K78" s="1"/>
      <c r="L78" s="1"/>
      <c r="M78" s="1"/>
      <c r="N78" s="1"/>
    </row>
    <row r="79" spans="1:14">
      <c r="A79" s="1"/>
      <c r="B79" s="1"/>
      <c r="C79" s="1"/>
      <c r="D79" s="1"/>
      <c r="E79" s="1"/>
      <c r="F79" s="1"/>
      <c r="G79" s="1"/>
      <c r="H79" s="1"/>
      <c r="I79" s="1"/>
      <c r="J79" s="1"/>
      <c r="K79" s="1"/>
      <c r="L79" s="1"/>
      <c r="M79" s="1"/>
      <c r="N79" s="1"/>
    </row>
    <row r="80" spans="1:14">
      <c r="A80" s="1"/>
      <c r="B80" s="1"/>
      <c r="C80" s="1"/>
      <c r="D80" s="1"/>
      <c r="E80" s="1"/>
      <c r="F80" s="1"/>
      <c r="G80" s="1"/>
      <c r="H80" s="1"/>
      <c r="I80" s="1"/>
      <c r="J80" s="1"/>
      <c r="K80" s="1"/>
      <c r="L80" s="1"/>
      <c r="M80" s="1"/>
      <c r="N80" s="1"/>
    </row>
    <row r="81" spans="1:14">
      <c r="A81" s="1"/>
      <c r="B81" s="1"/>
      <c r="C81" s="1"/>
      <c r="D81" s="1"/>
      <c r="E81" s="1"/>
      <c r="F81" s="1"/>
      <c r="G81" s="1"/>
      <c r="H81" s="1"/>
      <c r="I81" s="1"/>
      <c r="J81" s="1"/>
      <c r="K81" s="1"/>
      <c r="L81" s="1"/>
      <c r="M81" s="1"/>
      <c r="N81" s="1"/>
    </row>
    <row r="82" spans="1:14">
      <c r="A82" s="1"/>
      <c r="B82" s="1"/>
      <c r="C82" s="1"/>
      <c r="D82" s="1"/>
      <c r="E82" s="1"/>
      <c r="F82" s="1"/>
      <c r="G82" s="1"/>
      <c r="H82" s="1"/>
      <c r="I82" s="1"/>
      <c r="J82" s="1"/>
      <c r="K82" s="1"/>
      <c r="L82" s="1"/>
      <c r="M82" s="1"/>
      <c r="N82" s="1"/>
    </row>
    <row r="83" spans="1:14">
      <c r="A83" s="1"/>
      <c r="B83" s="1"/>
      <c r="C83" s="1"/>
      <c r="D83" s="1"/>
      <c r="E83" s="1"/>
      <c r="F83" s="1"/>
      <c r="G83" s="1"/>
      <c r="H83" s="1"/>
      <c r="I83" s="1"/>
      <c r="J83" s="1"/>
      <c r="K83" s="1"/>
      <c r="L83" s="1"/>
      <c r="M83" s="1"/>
      <c r="N83" s="1"/>
    </row>
    <row r="84" spans="1:14">
      <c r="A84" s="1"/>
      <c r="B84" s="1"/>
      <c r="C84" s="1"/>
      <c r="D84" s="1"/>
      <c r="E84" s="1"/>
      <c r="F84" s="1"/>
      <c r="G84" s="1"/>
      <c r="H84" s="1"/>
      <c r="I84" s="1"/>
      <c r="J84" s="1"/>
      <c r="K84" s="1"/>
      <c r="L84" s="1"/>
      <c r="M84" s="1"/>
      <c r="N84" s="1"/>
    </row>
  </sheetData>
  <pageMargins left="0.7" right="0.7" top="0.75" bottom="0.75" header="0.511811023622047" footer="0.511811023622047"/>
  <pageSetup paperSize="9" orientation="portrait" horizontalDpi="300" verticalDpi="300"/>
  <drawing r:id="rId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2026-10-09T19:02:00Z</dcterms:created>
  <dcterms:modified xsi:type="dcterms:W3CDTF">2026-10-24T19:12:50Z</dcterms:modified>
  <cp:category/>
  <cp:contentStatus/>
</cp:coreProperties>
</file>